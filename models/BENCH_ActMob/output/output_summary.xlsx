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asahub-my.sharepoint.com/personal/niamir_iiasa_ac_at/Documents/My Team/Aron_IIASA/BENCH-X/BENCH-Mobility/output/"/>
    </mc:Choice>
  </mc:AlternateContent>
  <xr:revisionPtr revIDLastSave="982" documentId="8_{D0334DDD-916A-4917-932A-2A8DDAC32B6F}" xr6:coauthVersionLast="47" xr6:coauthVersionMax="47" xr10:uidLastSave="{DCA47E38-AA22-4207-8BD6-D369D6A0C957}"/>
  <bookViews>
    <workbookView xWindow="31455" yWindow="4110" windowWidth="15180" windowHeight="4950" firstSheet="1" activeTab="2" xr2:uid="{A3594138-5141-46DE-808D-9F85A102C036}"/>
  </bookViews>
  <sheets>
    <sheet name="selected_modal_shares_2040" sheetId="3" r:id="rId1"/>
    <sheet name="all_modal_shares_2040" sheetId="1" r:id="rId2"/>
    <sheet name="selected_active_shares" sheetId="5" r:id="rId3"/>
    <sheet name="all_active_shares" sheetId="2" r:id="rId4"/>
    <sheet name="infra_scenarios" sheetId="6" r:id="rId5"/>
  </sheets>
  <definedNames>
    <definedName name="_xlnm._FilterDatabase" localSheetId="3" hidden="1">all_active_shares!$U$1:$AK$25</definedName>
    <definedName name="_xlnm._FilterDatabase" localSheetId="1" hidden="1">all_modal_shares_2040!$A$33:$F$57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2" l="1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C61" i="2"/>
  <c r="D61" i="2"/>
  <c r="E61" i="2"/>
  <c r="F61" i="2"/>
  <c r="G61" i="2"/>
  <c r="H61" i="2"/>
  <c r="I61" i="2"/>
  <c r="I67" i="2" s="1"/>
  <c r="J61" i="2"/>
  <c r="K61" i="2"/>
  <c r="L61" i="2"/>
  <c r="M61" i="2"/>
  <c r="N61" i="2"/>
  <c r="O61" i="2"/>
  <c r="P61" i="2"/>
  <c r="Q61" i="2"/>
  <c r="B58" i="2"/>
  <c r="B6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3" i="2" s="1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B52" i="2"/>
  <c r="B55" i="2"/>
  <c r="C37" i="2"/>
  <c r="D37" i="2"/>
  <c r="E37" i="2"/>
  <c r="F37" i="2"/>
  <c r="G37" i="2"/>
  <c r="H37" i="2"/>
  <c r="I37" i="2"/>
  <c r="J37" i="2"/>
  <c r="K37" i="2"/>
  <c r="L37" i="2"/>
  <c r="M37" i="2"/>
  <c r="M43" i="2" s="1"/>
  <c r="N37" i="2"/>
  <c r="N43" i="2" s="1"/>
  <c r="O37" i="2"/>
  <c r="O43" i="2" s="1"/>
  <c r="P37" i="2"/>
  <c r="Q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O44" i="2" s="1"/>
  <c r="P38" i="2"/>
  <c r="Q38" i="2"/>
  <c r="S39" i="2" s="1"/>
  <c r="C39" i="2"/>
  <c r="D39" i="2"/>
  <c r="E39" i="2"/>
  <c r="F39" i="2"/>
  <c r="G39" i="2"/>
  <c r="H39" i="2"/>
  <c r="I39" i="2"/>
  <c r="I45" i="2" s="1"/>
  <c r="J39" i="2"/>
  <c r="K39" i="2"/>
  <c r="L39" i="2"/>
  <c r="M39" i="2"/>
  <c r="N39" i="2"/>
  <c r="O39" i="2"/>
  <c r="P39" i="2"/>
  <c r="Q39" i="2"/>
  <c r="C40" i="2"/>
  <c r="D40" i="2"/>
  <c r="E40" i="2"/>
  <c r="F40" i="2"/>
  <c r="G40" i="2"/>
  <c r="G46" i="2" s="1"/>
  <c r="H40" i="2"/>
  <c r="H46" i="2" s="1"/>
  <c r="I40" i="2"/>
  <c r="I46" i="2" s="1"/>
  <c r="J40" i="2"/>
  <c r="K40" i="2"/>
  <c r="L40" i="2"/>
  <c r="L46" i="2" s="1"/>
  <c r="M40" i="2"/>
  <c r="M46" i="2" s="1"/>
  <c r="N40" i="2"/>
  <c r="N46" i="2" s="1"/>
  <c r="O40" i="2"/>
  <c r="O46" i="2" s="1"/>
  <c r="P40" i="2"/>
  <c r="P46" i="2" s="1"/>
  <c r="Q40" i="2"/>
  <c r="B37" i="2"/>
  <c r="B4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C34" i="2"/>
  <c r="D34" i="2"/>
  <c r="D46" i="2" s="1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S34" i="2" s="1"/>
  <c r="B34" i="2"/>
  <c r="B31" i="2"/>
  <c r="B33" i="2"/>
  <c r="B32" i="2"/>
  <c r="E64" i="2"/>
  <c r="L65" i="2"/>
  <c r="Q66" i="2"/>
  <c r="C67" i="2"/>
  <c r="D67" i="2"/>
  <c r="S53" i="2"/>
  <c r="R55" i="2"/>
  <c r="B60" i="2"/>
  <c r="B54" i="2"/>
  <c r="B59" i="2"/>
  <c r="B53" i="2"/>
  <c r="R37" i="2"/>
  <c r="N44" i="2"/>
  <c r="C46" i="2"/>
  <c r="B39" i="2"/>
  <c r="B38" i="2"/>
  <c r="Q45" i="2"/>
  <c r="J44" i="2"/>
  <c r="K44" i="2"/>
  <c r="C43" i="2"/>
  <c r="D43" i="2"/>
  <c r="E43" i="2"/>
  <c r="F43" i="2"/>
  <c r="G43" i="2"/>
  <c r="C7" i="1"/>
  <c r="G8" i="3"/>
  <c r="E8" i="3"/>
  <c r="E7" i="3"/>
  <c r="D7" i="3"/>
  <c r="G7" i="3"/>
  <c r="C7" i="3"/>
  <c r="S32" i="2"/>
  <c r="C8" i="1"/>
  <c r="E8" i="1"/>
  <c r="E7" i="1"/>
  <c r="G8" i="1"/>
  <c r="G7" i="1"/>
  <c r="I8" i="1"/>
  <c r="I7" i="1"/>
  <c r="K8" i="1"/>
  <c r="K7" i="1"/>
  <c r="M8" i="1"/>
  <c r="M7" i="1"/>
  <c r="O8" i="1"/>
  <c r="O7" i="1"/>
  <c r="Q8" i="1"/>
  <c r="Q7" i="1"/>
  <c r="S8" i="1"/>
  <c r="S7" i="1"/>
  <c r="U8" i="1"/>
  <c r="U7" i="1"/>
  <c r="W8" i="1"/>
  <c r="W7" i="1"/>
  <c r="Y8" i="1"/>
  <c r="Y7" i="1"/>
  <c r="K67" i="2" l="1"/>
  <c r="D66" i="2"/>
  <c r="L64" i="2"/>
  <c r="J67" i="2"/>
  <c r="C66" i="2"/>
  <c r="K64" i="2"/>
  <c r="Q65" i="2"/>
  <c r="J64" i="2"/>
  <c r="H67" i="2"/>
  <c r="G67" i="2"/>
  <c r="O65" i="2"/>
  <c r="H64" i="2"/>
  <c r="F67" i="2"/>
  <c r="N65" i="2"/>
  <c r="G64" i="2"/>
  <c r="E67" i="2"/>
  <c r="M65" i="2"/>
  <c r="F64" i="2"/>
  <c r="P45" i="2"/>
  <c r="Q44" i="2"/>
  <c r="H45" i="2"/>
  <c r="M44" i="2"/>
  <c r="F45" i="2"/>
  <c r="S55" i="2"/>
  <c r="L43" i="2"/>
  <c r="D45" i="2"/>
  <c r="L44" i="2"/>
  <c r="Q46" i="2"/>
  <c r="B43" i="2"/>
  <c r="R40" i="2"/>
  <c r="K46" i="2"/>
  <c r="R52" i="2"/>
  <c r="Q67" i="2"/>
  <c r="N45" i="2"/>
  <c r="K65" i="2"/>
  <c r="D64" i="2"/>
  <c r="G45" i="2"/>
  <c r="R54" i="2"/>
  <c r="J65" i="2"/>
  <c r="C64" i="2"/>
  <c r="S61" i="2"/>
  <c r="R33" i="2"/>
  <c r="E45" i="2"/>
  <c r="B46" i="2"/>
  <c r="K45" i="2"/>
  <c r="R60" i="2"/>
  <c r="P43" i="2"/>
  <c r="J45" i="2"/>
  <c r="B66" i="2"/>
  <c r="B64" i="2"/>
  <c r="S54" i="2"/>
  <c r="O67" i="2"/>
  <c r="H43" i="2"/>
  <c r="B45" i="2"/>
  <c r="J46" i="2"/>
  <c r="C45" i="2"/>
  <c r="P65" i="2"/>
  <c r="I64" i="2"/>
  <c r="F46" i="2"/>
  <c r="M45" i="2"/>
  <c r="E46" i="2"/>
  <c r="B44" i="2"/>
  <c r="O66" i="2"/>
  <c r="H65" i="2"/>
  <c r="S59" i="2"/>
  <c r="I65" i="2"/>
  <c r="I44" i="2"/>
  <c r="R58" i="2"/>
  <c r="P66" i="2"/>
  <c r="O45" i="2"/>
  <c r="R61" i="2"/>
  <c r="N66" i="2"/>
  <c r="G65" i="2"/>
  <c r="S60" i="2"/>
  <c r="F65" i="2"/>
  <c r="L66" i="2"/>
  <c r="E65" i="2"/>
  <c r="R59" i="2"/>
  <c r="K66" i="2"/>
  <c r="D65" i="2"/>
  <c r="J66" i="2"/>
  <c r="C65" i="2"/>
  <c r="M66" i="2"/>
  <c r="P67" i="2"/>
  <c r="I66" i="2"/>
  <c r="H66" i="2"/>
  <c r="P64" i="2"/>
  <c r="N67" i="2"/>
  <c r="G66" i="2"/>
  <c r="O64" i="2"/>
  <c r="M67" i="2"/>
  <c r="F66" i="2"/>
  <c r="N64" i="2"/>
  <c r="L67" i="2"/>
  <c r="E66" i="2"/>
  <c r="M64" i="2"/>
  <c r="Q64" i="2"/>
  <c r="B67" i="2"/>
  <c r="B65" i="2"/>
  <c r="K43" i="2"/>
  <c r="D44" i="2"/>
  <c r="R38" i="2"/>
  <c r="R39" i="2"/>
  <c r="S40" i="2"/>
  <c r="H44" i="2"/>
  <c r="G44" i="2"/>
  <c r="F44" i="2"/>
  <c r="S38" i="2"/>
  <c r="E44" i="2"/>
  <c r="J43" i="2"/>
  <c r="C44" i="2"/>
  <c r="I43" i="2"/>
  <c r="L45" i="2"/>
  <c r="P44" i="2"/>
  <c r="S33" i="2"/>
  <c r="Q43" i="2"/>
  <c r="R34" i="2"/>
  <c r="R31" i="2"/>
  <c r="R32" i="2"/>
</calcChain>
</file>

<file path=xl/sharedStrings.xml><?xml version="1.0" encoding="utf-8"?>
<sst xmlns="http://schemas.openxmlformats.org/spreadsheetml/2006/main" count="123" uniqueCount="48">
  <si>
    <t>Cycling</t>
  </si>
  <si>
    <t>Walking</t>
  </si>
  <si>
    <t>Car</t>
  </si>
  <si>
    <t>Public tr.</t>
  </si>
  <si>
    <t>Peers</t>
  </si>
  <si>
    <t>Neighbour</t>
  </si>
  <si>
    <t>Neighbour &amp; None &amp; None</t>
  </si>
  <si>
    <t>Neighbour &amp; None &amp; Zoning</t>
  </si>
  <si>
    <t>None &amp; None &amp; None</t>
  </si>
  <si>
    <t>None &amp; None &amp; Zoning</t>
  </si>
  <si>
    <t>Peers &amp; None &amp; None</t>
  </si>
  <si>
    <t>Peers &amp; None &amp; Zoning</t>
  </si>
  <si>
    <t>None &amp; 2055 &amp; None</t>
  </si>
  <si>
    <t>Peers &amp; 2055 &amp; None</t>
  </si>
  <si>
    <t>Peers &amp; 2055 &amp; Zoning</t>
  </si>
  <si>
    <t>Peers &amp; Early 2055 &amp; None</t>
  </si>
  <si>
    <t>Peers &amp; Early 2055 &amp; Zoning</t>
  </si>
  <si>
    <t>Active Mobility</t>
  </si>
  <si>
    <t>Zoning impact on cars</t>
  </si>
  <si>
    <t>Zoning impact on active mobility</t>
  </si>
  <si>
    <t>Zoning diff</t>
  </si>
  <si>
    <t>Diff from no infra</t>
  </si>
  <si>
    <t>Diff from 2055</t>
  </si>
  <si>
    <t>Difference from BAU in 2040</t>
  </si>
  <si>
    <t>BAU</t>
  </si>
  <si>
    <t>BEZNR</t>
  </si>
  <si>
    <t>Early 2055</t>
  </si>
  <si>
    <t>1st district</t>
  </si>
  <si>
    <t>Early 2050</t>
  </si>
  <si>
    <t>Neighbour &amp; 2050 &amp; None</t>
  </si>
  <si>
    <t>Neighbour &amp; 2050 &amp; Zoning</t>
  </si>
  <si>
    <t>None &amp; 2050 &amp; None</t>
  </si>
  <si>
    <t>None &amp; 2050 &amp; Zoning</t>
  </si>
  <si>
    <t>Peers &amp; 2050 &amp; None</t>
  </si>
  <si>
    <t>Peers &amp; 2050 &amp; Zoning</t>
  </si>
  <si>
    <t>Neighbour &amp; 2060 &amp; None</t>
  </si>
  <si>
    <t>Neighbour &amp; 2060 &amp; Zoning</t>
  </si>
  <si>
    <t>None &amp; 2060 &amp; None</t>
  </si>
  <si>
    <t>None &amp; 2060 &amp; Zoning</t>
  </si>
  <si>
    <t>Peers &amp; 2060 &amp; None</t>
  </si>
  <si>
    <t>Peers &amp; 2060 &amp; Zoning</t>
  </si>
  <si>
    <t>Neighbour &amp; Early 2060 &amp; None</t>
  </si>
  <si>
    <t>Neighbour &amp; Early 2060 &amp; Zoning</t>
  </si>
  <si>
    <t>None &amp; Early 2060 &amp; None</t>
  </si>
  <si>
    <t>None &amp; Early 2060 &amp; Zoning</t>
  </si>
  <si>
    <t>Peers &amp; Early 2060 &amp; None</t>
  </si>
  <si>
    <t>Peers &amp; Early 2060 &amp; Zoning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</si>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</sst>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164" fontId="0" fillId="0" borderId="0" xfId="1" applyNumberFormat="1" applyFont="1" applyFill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3" borderId="0" xfId="0" applyNumberFormat="1" applyFill="1"/>
    <xf numFmtId="164" fontId="0" fillId="3" borderId="0" xfId="1" applyNumberFormat="1" applyFont="1" applyFill="1"/>
    <xf numFmtId="164" fontId="0" fillId="2" borderId="0" xfId="0" applyNumberFormat="1" applyFill="1"/>
    <xf numFmtId="0" fontId="2" fillId="2" borderId="0" xfId="0" applyFont="1" applyFill="1"/>
    <xf numFmtId="0" fontId="2" fillId="3" borderId="0" xfId="0" applyFont="1" applyFill="1"/>
    <xf numFmtId="1" fontId="0" fillId="0" borderId="0" xfId="1" applyNumberFormat="1" applyFont="1"/>
    <xf numFmtId="9" fontId="0" fillId="2" borderId="0" xfId="1" applyFont="1" applyFill="1"/>
    <xf numFmtId="9" fontId="0" fillId="0" borderId="0" xfId="1" applyFont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Modal shares in 2040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selected_modal_shares_2040!$A$2</c:f>
              <c:strCache>
                <c:ptCount val="1"/>
                <c:pt idx="0">
                  <c:v>Cycling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selected_modal_shares_2040!$B$1:$H$1</c:f>
              <c:strCache>
                <c:ptCount val="7"/>
                <c:pt idx="0">
                  <c:v>BAU</c:v>
                </c:pt>
                <c:pt idx="1">
                  <c:v>None &amp; 2060 &amp; None</c:v>
                </c:pt>
                <c:pt idx="2">
                  <c:v>Peers &amp; None &amp; None</c:v>
                </c:pt>
                <c:pt idx="3">
                  <c:v>Peers &amp; 2060 &amp; None</c:v>
                </c:pt>
                <c:pt idx="4">
                  <c:v>Peers &amp; 2060 &amp; Zoning</c:v>
                </c:pt>
                <c:pt idx="5">
                  <c:v>Peers &amp; Early 2060 &amp; None</c:v>
                </c:pt>
                <c:pt idx="6">
                  <c:v>Peers &amp; Early 2060 &amp; Zoning</c:v>
                </c:pt>
              </c:strCache>
            </c:strRef>
          </c:cat>
          <c:val>
            <c:numRef>
              <c:f>selected_modal_shares_2040!$B$2:$H$2</c:f>
              <c:numCache>
                <c:formatCode>0%</c:formatCode>
                <c:ptCount val="7"/>
                <c:pt idx="0">
                  <c:v>0.125986411038881</c:v>
                </c:pt>
                <c:pt idx="1">
                  <c:v>0.14339710751571799</c:v>
                </c:pt>
                <c:pt idx="2">
                  <c:v>0.181772070738317</c:v>
                </c:pt>
                <c:pt idx="3">
                  <c:v>0.25655047762217598</c:v>
                </c:pt>
                <c:pt idx="4">
                  <c:v>0.26017176442225198</c:v>
                </c:pt>
                <c:pt idx="5">
                  <c:v>0.26221393635352203</c:v>
                </c:pt>
                <c:pt idx="6">
                  <c:v>0.26867700696937097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E-41B5-B0D5-D366DC00D768}"/>
            </c:ext>
          </c:extLst>
        </c:ser>
        <c:ser>
          <c:idx val="1"/>
          <c:order val="1"/>
          <c:tx>
            <c:strRef>
              <c:f>selected_modal_shares_2040!$A$3</c:f>
              <c:strCache>
                <c:ptCount val="1"/>
                <c:pt idx="0">
                  <c:v>Walking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selected_modal_shares_2040!$B$1:$H$1</c:f>
              <c:strCache>
                <c:ptCount val="7"/>
                <c:pt idx="0">
                  <c:v>BAU</c:v>
                </c:pt>
                <c:pt idx="1">
                  <c:v>None &amp; 2060 &amp; None</c:v>
                </c:pt>
                <c:pt idx="2">
                  <c:v>Peers &amp; None &amp; None</c:v>
                </c:pt>
                <c:pt idx="3">
                  <c:v>Peers &amp; 2060 &amp; None</c:v>
                </c:pt>
                <c:pt idx="4">
                  <c:v>Peers &amp; 2060 &amp; Zoning</c:v>
                </c:pt>
                <c:pt idx="5">
                  <c:v>Peers &amp; Early 2060 &amp; None</c:v>
                </c:pt>
                <c:pt idx="6">
                  <c:v>Peers &amp; Early 2060 &amp; Zoning</c:v>
                </c:pt>
              </c:strCache>
            </c:strRef>
          </c:cat>
          <c:val>
            <c:numRef>
              <c:f>selected_modal_shares_2040!$B$3:$H$3</c:f>
              <c:numCache>
                <c:formatCode>0%</c:formatCode>
                <c:ptCount val="7"/>
                <c:pt idx="0">
                  <c:v>0.310631137829042</c:v>
                </c:pt>
                <c:pt idx="1">
                  <c:v>0.307970978144056</c:v>
                </c:pt>
                <c:pt idx="2">
                  <c:v>0.34399693409066101</c:v>
                </c:pt>
                <c:pt idx="3">
                  <c:v>0.32560328967860103</c:v>
                </c:pt>
                <c:pt idx="4">
                  <c:v>0.33217104630567496</c:v>
                </c:pt>
                <c:pt idx="5">
                  <c:v>0.32484094936966501</c:v>
                </c:pt>
                <c:pt idx="6">
                  <c:v>0.33028329264239603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E-41B5-B0D5-D366DC00D768}"/>
            </c:ext>
          </c:extLst>
        </c:ser>
        <c:ser>
          <c:idx val="2"/>
          <c:order val="2"/>
          <c:tx>
            <c:strRef>
              <c:f>selected_modal_shares_2040!$A$4</c:f>
              <c:strCache>
                <c:ptCount val="1"/>
                <c:pt idx="0">
                  <c:v>Public tr.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selected_modal_shares_2040!$B$1:$H$1</c:f>
              <c:strCache>
                <c:ptCount val="7"/>
                <c:pt idx="0">
                  <c:v>BAU</c:v>
                </c:pt>
                <c:pt idx="1">
                  <c:v>None &amp; 2060 &amp; None</c:v>
                </c:pt>
                <c:pt idx="2">
                  <c:v>Peers &amp; None &amp; None</c:v>
                </c:pt>
                <c:pt idx="3">
                  <c:v>Peers &amp; 2060 &amp; None</c:v>
                </c:pt>
                <c:pt idx="4">
                  <c:v>Peers &amp; 2060 &amp; Zoning</c:v>
                </c:pt>
                <c:pt idx="5">
                  <c:v>Peers &amp; Early 2060 &amp; None</c:v>
                </c:pt>
                <c:pt idx="6">
                  <c:v>Peers &amp; Early 2060 &amp; Zoning</c:v>
                </c:pt>
              </c:strCache>
            </c:strRef>
          </c:cat>
          <c:val>
            <c:numRef>
              <c:f>selected_modal_shares_2040!$B$4:$H$4</c:f>
              <c:numCache>
                <c:formatCode>0%</c:formatCode>
                <c:ptCount val="7"/>
                <c:pt idx="0">
                  <c:v>0.32786148151544903</c:v>
                </c:pt>
                <c:pt idx="1">
                  <c:v>0.318990005713777</c:v>
                </c:pt>
                <c:pt idx="2">
                  <c:v>0.28252143091088999</c:v>
                </c:pt>
                <c:pt idx="3">
                  <c:v>0.25309773253608603</c:v>
                </c:pt>
                <c:pt idx="4">
                  <c:v>0.25755079440726703</c:v>
                </c:pt>
                <c:pt idx="5">
                  <c:v>0.25034464076632801</c:v>
                </c:pt>
                <c:pt idx="6">
                  <c:v>0.25296666724581596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E-41B5-B0D5-D366DC00D768}"/>
            </c:ext>
          </c:extLst>
        </c:ser>
        <c:ser>
          <c:idx val="3"/>
          <c:order val="3"/>
          <c:tx>
            <c:strRef>
              <c:f>selected_modal_shares_2040!$A$5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selected_modal_shares_2040!$B$1:$H$1</c:f>
              <c:strCache>
                <c:ptCount val="7"/>
                <c:pt idx="0">
                  <c:v>BAU</c:v>
                </c:pt>
                <c:pt idx="1">
                  <c:v>None &amp; 2060 &amp; None</c:v>
                </c:pt>
                <c:pt idx="2">
                  <c:v>Peers &amp; None &amp; None</c:v>
                </c:pt>
                <c:pt idx="3">
                  <c:v>Peers &amp; 2060 &amp; None</c:v>
                </c:pt>
                <c:pt idx="4">
                  <c:v>Peers &amp; 2060 &amp; Zoning</c:v>
                </c:pt>
                <c:pt idx="5">
                  <c:v>Peers &amp; Early 2060 &amp; None</c:v>
                </c:pt>
                <c:pt idx="6">
                  <c:v>Peers &amp; Early 2060 &amp; Zoning</c:v>
                </c:pt>
              </c:strCache>
            </c:strRef>
          </c:cat>
          <c:val>
            <c:numRef>
              <c:f>selected_modal_shares_2040!$B$5:$H$5</c:f>
              <c:numCache>
                <c:formatCode>0%</c:formatCode>
                <c:ptCount val="7"/>
                <c:pt idx="0">
                  <c:v>0.235520969616626</c:v>
                </c:pt>
                <c:pt idx="1">
                  <c:v>0.22964190862644598</c:v>
                </c:pt>
                <c:pt idx="2">
                  <c:v>0.19170956426013</c:v>
                </c:pt>
                <c:pt idx="3">
                  <c:v>0.164748500163134</c:v>
                </c:pt>
                <c:pt idx="4">
                  <c:v>0.15010639486480501</c:v>
                </c:pt>
                <c:pt idx="5">
                  <c:v>0.16260047351048301</c:v>
                </c:pt>
                <c:pt idx="6">
                  <c:v>0.14807303314241499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3E-41B5-B0D5-D366DC00D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990991"/>
        <c:axId val="1104991951"/>
      </c:barChart>
      <c:catAx>
        <c:axId val="110499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1951"/>
        <c:crosses val="autoZero"/>
        <c:auto val="1"/>
        <c:lblAlgn val="ctr"/>
        <c:lblOffset val="100"/>
        <c:noMultiLvlLbl val="0"/>
      </c:catAx>
      <c:valAx>
        <c:axId val="1104991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Modal shares in 2040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all_modal_shares_2040!$A$2</c:f>
              <c:strCache>
                <c:ptCount val="1"/>
                <c:pt idx="0">
                  <c:v>Cycling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all_modal_shares_2040!$B$1:$Y$1</c:f>
              <c:strCache>
                <c:ptCount val="24"/>
                <c:pt idx="0">
                  <c:v>BAU</c:v>
                </c:pt>
                <c:pt idx="1">
                  <c:v>None &amp; None &amp; Zoning</c:v>
                </c:pt>
                <c:pt idx="2">
                  <c:v>None &amp; 2060 &amp; None</c:v>
                </c:pt>
                <c:pt idx="3">
                  <c:v>None &amp; 2060 &amp; Zoning</c:v>
                </c:pt>
                <c:pt idx="4">
                  <c:v>None &amp; Early 2060 &amp; None</c:v>
                </c:pt>
                <c:pt idx="5">
                  <c:v>None &amp; Early 2060 &amp; Zoning</c:v>
                </c:pt>
                <c:pt idx="6">
                  <c:v>None &amp; 2050 &amp; None</c:v>
                </c:pt>
                <c:pt idx="7">
                  <c:v>None &amp; 2050 &amp; Zoning</c:v>
                </c:pt>
                <c:pt idx="8">
                  <c:v>Neighbour &amp; None &amp; None</c:v>
                </c:pt>
                <c:pt idx="9">
                  <c:v>Neighbour &amp; None &amp; Zoning</c:v>
                </c:pt>
                <c:pt idx="10">
                  <c:v>Neighbour &amp; 2060 &amp; None</c:v>
                </c:pt>
                <c:pt idx="11">
                  <c:v>Neighbour &amp; 2060 &amp; Zoning</c:v>
                </c:pt>
                <c:pt idx="12">
                  <c:v>Neighbour &amp; Early 2060 &amp; None</c:v>
                </c:pt>
                <c:pt idx="13">
                  <c:v>Neighbour &amp; Early 2060 &amp; Zoning</c:v>
                </c:pt>
                <c:pt idx="14">
                  <c:v>Neighbour &amp; 2050 &amp; None</c:v>
                </c:pt>
                <c:pt idx="15">
                  <c:v>Neighbour &amp; 2050 &amp; Zoning</c:v>
                </c:pt>
                <c:pt idx="16">
                  <c:v>Peers &amp; None &amp; None</c:v>
                </c:pt>
                <c:pt idx="17">
                  <c:v>Peers &amp; None &amp; Zoning</c:v>
                </c:pt>
                <c:pt idx="18">
                  <c:v>Peers &amp; 2060 &amp; None</c:v>
                </c:pt>
                <c:pt idx="19">
                  <c:v>Peers &amp; 2060 &amp; Zoning</c:v>
                </c:pt>
                <c:pt idx="20">
                  <c:v>Peers &amp; Early 2060 &amp; None</c:v>
                </c:pt>
                <c:pt idx="21">
                  <c:v>Peers &amp; Early 2060 &amp; Zoning</c:v>
                </c:pt>
                <c:pt idx="22">
                  <c:v>Peers &amp; 2050 &amp; None</c:v>
                </c:pt>
                <c:pt idx="23">
                  <c:v>Peers &amp; 2050 &amp; Zoning</c:v>
                </c:pt>
              </c:strCache>
            </c:strRef>
          </c:cat>
          <c:val>
            <c:numRef>
              <c:f>all_modal_shares_2040!$B$2:$Y$2</c:f>
              <c:numCache>
                <c:formatCode>0.0%</c:formatCode>
                <c:ptCount val="24"/>
                <c:pt idx="0">
                  <c:v>0.125986411038881</c:v>
                </c:pt>
                <c:pt idx="1">
                  <c:v>0.13318101582115099</c:v>
                </c:pt>
                <c:pt idx="2">
                  <c:v>0.14339710751571799</c:v>
                </c:pt>
                <c:pt idx="3">
                  <c:v>0.150596289139067</c:v>
                </c:pt>
                <c:pt idx="4">
                  <c:v>0.144808050747158</c:v>
                </c:pt>
                <c:pt idx="5">
                  <c:v>0.152357697719369</c:v>
                </c:pt>
                <c:pt idx="6">
                  <c:v>0.145772314787534</c:v>
                </c:pt>
                <c:pt idx="7">
                  <c:v>0.15359374970759401</c:v>
                </c:pt>
                <c:pt idx="8">
                  <c:v>0.17882084591921402</c:v>
                </c:pt>
                <c:pt idx="9">
                  <c:v>0.18373470170408598</c:v>
                </c:pt>
                <c:pt idx="10">
                  <c:v>0.24498355874181199</c:v>
                </c:pt>
                <c:pt idx="11">
                  <c:v>0.24839402023322202</c:v>
                </c:pt>
                <c:pt idx="12">
                  <c:v>0.24969419236537799</c:v>
                </c:pt>
                <c:pt idx="13">
                  <c:v>0.25333130393296899</c:v>
                </c:pt>
                <c:pt idx="14">
                  <c:v>0.25445429968934502</c:v>
                </c:pt>
                <c:pt idx="15">
                  <c:v>0.25877178562468101</c:v>
                </c:pt>
                <c:pt idx="16">
                  <c:v>0.181772070738317</c:v>
                </c:pt>
                <c:pt idx="17">
                  <c:v>0.18746278027399099</c:v>
                </c:pt>
                <c:pt idx="18">
                  <c:v>0.25655047762217598</c:v>
                </c:pt>
                <c:pt idx="19">
                  <c:v>0.26017176442225198</c:v>
                </c:pt>
                <c:pt idx="20">
                  <c:v>0.26221393635352203</c:v>
                </c:pt>
                <c:pt idx="21">
                  <c:v>0.26867700696937097</c:v>
                </c:pt>
                <c:pt idx="22">
                  <c:v>0.27186551799661002</c:v>
                </c:pt>
                <c:pt idx="23">
                  <c:v>0.27476220978440602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A-4F38-A1C5-8E5F5CC359CA}"/>
            </c:ext>
          </c:extLst>
        </c:ser>
        <c:ser>
          <c:idx val="1"/>
          <c:order val="1"/>
          <c:tx>
            <c:strRef>
              <c:f>all_modal_shares_2040!$A$3</c:f>
              <c:strCache>
                <c:ptCount val="1"/>
                <c:pt idx="0">
                  <c:v>Walking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all_modal_shares_2040!$B$1:$Y$1</c:f>
              <c:strCache>
                <c:ptCount val="24"/>
                <c:pt idx="0">
                  <c:v>BAU</c:v>
                </c:pt>
                <c:pt idx="1">
                  <c:v>None &amp; None &amp; Zoning</c:v>
                </c:pt>
                <c:pt idx="2">
                  <c:v>None &amp; 2060 &amp; None</c:v>
                </c:pt>
                <c:pt idx="3">
                  <c:v>None &amp; 2060 &amp; Zoning</c:v>
                </c:pt>
                <c:pt idx="4">
                  <c:v>None &amp; Early 2060 &amp; None</c:v>
                </c:pt>
                <c:pt idx="5">
                  <c:v>None &amp; Early 2060 &amp; Zoning</c:v>
                </c:pt>
                <c:pt idx="6">
                  <c:v>None &amp; 2050 &amp; None</c:v>
                </c:pt>
                <c:pt idx="7">
                  <c:v>None &amp; 2050 &amp; Zoning</c:v>
                </c:pt>
                <c:pt idx="8">
                  <c:v>Neighbour &amp; None &amp; None</c:v>
                </c:pt>
                <c:pt idx="9">
                  <c:v>Neighbour &amp; None &amp; Zoning</c:v>
                </c:pt>
                <c:pt idx="10">
                  <c:v>Neighbour &amp; 2060 &amp; None</c:v>
                </c:pt>
                <c:pt idx="11">
                  <c:v>Neighbour &amp; 2060 &amp; Zoning</c:v>
                </c:pt>
                <c:pt idx="12">
                  <c:v>Neighbour &amp; Early 2060 &amp; None</c:v>
                </c:pt>
                <c:pt idx="13">
                  <c:v>Neighbour &amp; Early 2060 &amp; Zoning</c:v>
                </c:pt>
                <c:pt idx="14">
                  <c:v>Neighbour &amp; 2050 &amp; None</c:v>
                </c:pt>
                <c:pt idx="15">
                  <c:v>Neighbour &amp; 2050 &amp; Zoning</c:v>
                </c:pt>
                <c:pt idx="16">
                  <c:v>Peers &amp; None &amp; None</c:v>
                </c:pt>
                <c:pt idx="17">
                  <c:v>Peers &amp; None &amp; Zoning</c:v>
                </c:pt>
                <c:pt idx="18">
                  <c:v>Peers &amp; 2060 &amp; None</c:v>
                </c:pt>
                <c:pt idx="19">
                  <c:v>Peers &amp; 2060 &amp; Zoning</c:v>
                </c:pt>
                <c:pt idx="20">
                  <c:v>Peers &amp; Early 2060 &amp; None</c:v>
                </c:pt>
                <c:pt idx="21">
                  <c:v>Peers &amp; Early 2060 &amp; Zoning</c:v>
                </c:pt>
                <c:pt idx="22">
                  <c:v>Peers &amp; 2050 &amp; None</c:v>
                </c:pt>
                <c:pt idx="23">
                  <c:v>Peers &amp; 2050 &amp; Zoning</c:v>
                </c:pt>
              </c:strCache>
            </c:strRef>
          </c:cat>
          <c:val>
            <c:numRef>
              <c:f>all_modal_shares_2040!$B$3:$Y$3</c:f>
              <c:numCache>
                <c:formatCode>0.0%</c:formatCode>
                <c:ptCount val="24"/>
                <c:pt idx="0">
                  <c:v>0.310631137829042</c:v>
                </c:pt>
                <c:pt idx="1">
                  <c:v>0.321518039831447</c:v>
                </c:pt>
                <c:pt idx="2">
                  <c:v>0.307970978144056</c:v>
                </c:pt>
                <c:pt idx="3">
                  <c:v>0.31696198740092202</c:v>
                </c:pt>
                <c:pt idx="4">
                  <c:v>0.30759851902668001</c:v>
                </c:pt>
                <c:pt idx="5">
                  <c:v>0.31686066698211801</c:v>
                </c:pt>
                <c:pt idx="6">
                  <c:v>0.30698868787276701</c:v>
                </c:pt>
                <c:pt idx="7">
                  <c:v>0.31629005247389197</c:v>
                </c:pt>
                <c:pt idx="8">
                  <c:v>0.338111247830025</c:v>
                </c:pt>
                <c:pt idx="9">
                  <c:v>0.344905730706623</c:v>
                </c:pt>
                <c:pt idx="10">
                  <c:v>0.32359283228845198</c:v>
                </c:pt>
                <c:pt idx="11">
                  <c:v>0.33078687483703706</c:v>
                </c:pt>
                <c:pt idx="12">
                  <c:v>0.32285336024477201</c:v>
                </c:pt>
                <c:pt idx="13">
                  <c:v>0.32867469987660303</c:v>
                </c:pt>
                <c:pt idx="14">
                  <c:v>0.32166512156138</c:v>
                </c:pt>
                <c:pt idx="15">
                  <c:v>0.32834378787811802</c:v>
                </c:pt>
                <c:pt idx="16">
                  <c:v>0.34399693409066101</c:v>
                </c:pt>
                <c:pt idx="17">
                  <c:v>0.35082065675735896</c:v>
                </c:pt>
                <c:pt idx="18">
                  <c:v>0.32560328967860103</c:v>
                </c:pt>
                <c:pt idx="19">
                  <c:v>0.33217104630567496</c:v>
                </c:pt>
                <c:pt idx="20">
                  <c:v>0.32484094936966501</c:v>
                </c:pt>
                <c:pt idx="21">
                  <c:v>0.33028329264239603</c:v>
                </c:pt>
                <c:pt idx="22">
                  <c:v>0.32367003660681803</c:v>
                </c:pt>
                <c:pt idx="23">
                  <c:v>0.33075700383654399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A-4F38-A1C5-8E5F5CC359CA}"/>
            </c:ext>
          </c:extLst>
        </c:ser>
        <c:ser>
          <c:idx val="2"/>
          <c:order val="2"/>
          <c:tx>
            <c:strRef>
              <c:f>all_modal_shares_2040!$A$4</c:f>
              <c:strCache>
                <c:ptCount val="1"/>
                <c:pt idx="0">
                  <c:v>Public tr.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all_modal_shares_2040!$B$1:$Y$1</c:f>
              <c:strCache>
                <c:ptCount val="24"/>
                <c:pt idx="0">
                  <c:v>BAU</c:v>
                </c:pt>
                <c:pt idx="1">
                  <c:v>None &amp; None &amp; Zoning</c:v>
                </c:pt>
                <c:pt idx="2">
                  <c:v>None &amp; 2060 &amp; None</c:v>
                </c:pt>
                <c:pt idx="3">
                  <c:v>None &amp; 2060 &amp; Zoning</c:v>
                </c:pt>
                <c:pt idx="4">
                  <c:v>None &amp; Early 2060 &amp; None</c:v>
                </c:pt>
                <c:pt idx="5">
                  <c:v>None &amp; Early 2060 &amp; Zoning</c:v>
                </c:pt>
                <c:pt idx="6">
                  <c:v>None &amp; 2050 &amp; None</c:v>
                </c:pt>
                <c:pt idx="7">
                  <c:v>None &amp; 2050 &amp; Zoning</c:v>
                </c:pt>
                <c:pt idx="8">
                  <c:v>Neighbour &amp; None &amp; None</c:v>
                </c:pt>
                <c:pt idx="9">
                  <c:v>Neighbour &amp; None &amp; Zoning</c:v>
                </c:pt>
                <c:pt idx="10">
                  <c:v>Neighbour &amp; 2060 &amp; None</c:v>
                </c:pt>
                <c:pt idx="11">
                  <c:v>Neighbour &amp; 2060 &amp; Zoning</c:v>
                </c:pt>
                <c:pt idx="12">
                  <c:v>Neighbour &amp; Early 2060 &amp; None</c:v>
                </c:pt>
                <c:pt idx="13">
                  <c:v>Neighbour &amp; Early 2060 &amp; Zoning</c:v>
                </c:pt>
                <c:pt idx="14">
                  <c:v>Neighbour &amp; 2050 &amp; None</c:v>
                </c:pt>
                <c:pt idx="15">
                  <c:v>Neighbour &amp; 2050 &amp; Zoning</c:v>
                </c:pt>
                <c:pt idx="16">
                  <c:v>Peers &amp; None &amp; None</c:v>
                </c:pt>
                <c:pt idx="17">
                  <c:v>Peers &amp; None &amp; Zoning</c:v>
                </c:pt>
                <c:pt idx="18">
                  <c:v>Peers &amp; 2060 &amp; None</c:v>
                </c:pt>
                <c:pt idx="19">
                  <c:v>Peers &amp; 2060 &amp; Zoning</c:v>
                </c:pt>
                <c:pt idx="20">
                  <c:v>Peers &amp; Early 2060 &amp; None</c:v>
                </c:pt>
                <c:pt idx="21">
                  <c:v>Peers &amp; Early 2060 &amp; Zoning</c:v>
                </c:pt>
                <c:pt idx="22">
                  <c:v>Peers &amp; 2050 &amp; None</c:v>
                </c:pt>
                <c:pt idx="23">
                  <c:v>Peers &amp; 2050 &amp; Zoning</c:v>
                </c:pt>
              </c:strCache>
            </c:strRef>
          </c:cat>
          <c:val>
            <c:numRef>
              <c:f>all_modal_shares_2040!$B$4:$Y$4</c:f>
              <c:numCache>
                <c:formatCode>0.0%</c:formatCode>
                <c:ptCount val="24"/>
                <c:pt idx="0">
                  <c:v>0.32786148151544903</c:v>
                </c:pt>
                <c:pt idx="1">
                  <c:v>0.33349260130560998</c:v>
                </c:pt>
                <c:pt idx="2">
                  <c:v>0.318990005713777</c:v>
                </c:pt>
                <c:pt idx="3">
                  <c:v>0.32543362826914196</c:v>
                </c:pt>
                <c:pt idx="4">
                  <c:v>0.31830660302175401</c:v>
                </c:pt>
                <c:pt idx="5">
                  <c:v>0.32466601420574798</c:v>
                </c:pt>
                <c:pt idx="6">
                  <c:v>0.318539406291592</c:v>
                </c:pt>
                <c:pt idx="7">
                  <c:v>0.32391616190883904</c:v>
                </c:pt>
                <c:pt idx="8">
                  <c:v>0.28827749185755197</c:v>
                </c:pt>
                <c:pt idx="9">
                  <c:v>0.29286273656598</c:v>
                </c:pt>
                <c:pt idx="10">
                  <c:v>0.26249178781155796</c:v>
                </c:pt>
                <c:pt idx="11">
                  <c:v>0.26549395218920202</c:v>
                </c:pt>
                <c:pt idx="12">
                  <c:v>0.25983067939130999</c:v>
                </c:pt>
                <c:pt idx="13">
                  <c:v>0.26410941008748601</c:v>
                </c:pt>
                <c:pt idx="14">
                  <c:v>0.25776469469080199</c:v>
                </c:pt>
                <c:pt idx="15">
                  <c:v>0.26087355379915</c:v>
                </c:pt>
                <c:pt idx="16">
                  <c:v>0.28252143091088999</c:v>
                </c:pt>
                <c:pt idx="17">
                  <c:v>0.28701426911455202</c:v>
                </c:pt>
                <c:pt idx="18">
                  <c:v>0.25309773253608603</c:v>
                </c:pt>
                <c:pt idx="19">
                  <c:v>0.25755079440726703</c:v>
                </c:pt>
                <c:pt idx="20">
                  <c:v>0.25034464076632801</c:v>
                </c:pt>
                <c:pt idx="21">
                  <c:v>0.25296666724581596</c:v>
                </c:pt>
                <c:pt idx="22">
                  <c:v>0.24698481460581601</c:v>
                </c:pt>
                <c:pt idx="23">
                  <c:v>0.25015633869328502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DA-4F38-A1C5-8E5F5CC359CA}"/>
            </c:ext>
          </c:extLst>
        </c:ser>
        <c:ser>
          <c:idx val="3"/>
          <c:order val="3"/>
          <c:tx>
            <c:strRef>
              <c:f>all_modal_shares_2040!$A$5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all_modal_shares_2040!$B$1:$Y$1</c:f>
              <c:strCache>
                <c:ptCount val="24"/>
                <c:pt idx="0">
                  <c:v>BAU</c:v>
                </c:pt>
                <c:pt idx="1">
                  <c:v>None &amp; None &amp; Zoning</c:v>
                </c:pt>
                <c:pt idx="2">
                  <c:v>None &amp; 2060 &amp; None</c:v>
                </c:pt>
                <c:pt idx="3">
                  <c:v>None &amp; 2060 &amp; Zoning</c:v>
                </c:pt>
                <c:pt idx="4">
                  <c:v>None &amp; Early 2060 &amp; None</c:v>
                </c:pt>
                <c:pt idx="5">
                  <c:v>None &amp; Early 2060 &amp; Zoning</c:v>
                </c:pt>
                <c:pt idx="6">
                  <c:v>None &amp; 2050 &amp; None</c:v>
                </c:pt>
                <c:pt idx="7">
                  <c:v>None &amp; 2050 &amp; Zoning</c:v>
                </c:pt>
                <c:pt idx="8">
                  <c:v>Neighbour &amp; None &amp; None</c:v>
                </c:pt>
                <c:pt idx="9">
                  <c:v>Neighbour &amp; None &amp; Zoning</c:v>
                </c:pt>
                <c:pt idx="10">
                  <c:v>Neighbour &amp; 2060 &amp; None</c:v>
                </c:pt>
                <c:pt idx="11">
                  <c:v>Neighbour &amp; 2060 &amp; Zoning</c:v>
                </c:pt>
                <c:pt idx="12">
                  <c:v>Neighbour &amp; Early 2060 &amp; None</c:v>
                </c:pt>
                <c:pt idx="13">
                  <c:v>Neighbour &amp; Early 2060 &amp; Zoning</c:v>
                </c:pt>
                <c:pt idx="14">
                  <c:v>Neighbour &amp; 2050 &amp; None</c:v>
                </c:pt>
                <c:pt idx="15">
                  <c:v>Neighbour &amp; 2050 &amp; Zoning</c:v>
                </c:pt>
                <c:pt idx="16">
                  <c:v>Peers &amp; None &amp; None</c:v>
                </c:pt>
                <c:pt idx="17">
                  <c:v>Peers &amp; None &amp; Zoning</c:v>
                </c:pt>
                <c:pt idx="18">
                  <c:v>Peers &amp; 2060 &amp; None</c:v>
                </c:pt>
                <c:pt idx="19">
                  <c:v>Peers &amp; 2060 &amp; Zoning</c:v>
                </c:pt>
                <c:pt idx="20">
                  <c:v>Peers &amp; Early 2060 &amp; None</c:v>
                </c:pt>
                <c:pt idx="21">
                  <c:v>Peers &amp; Early 2060 &amp; Zoning</c:v>
                </c:pt>
                <c:pt idx="22">
                  <c:v>Peers &amp; 2050 &amp; None</c:v>
                </c:pt>
                <c:pt idx="23">
                  <c:v>Peers &amp; 2050 &amp; Zoning</c:v>
                </c:pt>
              </c:strCache>
            </c:strRef>
          </c:cat>
          <c:val>
            <c:numRef>
              <c:f>all_modal_shares_2040!$B$5:$Y$5</c:f>
              <c:numCache>
                <c:formatCode>0.0%</c:formatCode>
                <c:ptCount val="24"/>
                <c:pt idx="0">
                  <c:v>0.235520969616626</c:v>
                </c:pt>
                <c:pt idx="1">
                  <c:v>0.21180834304179</c:v>
                </c:pt>
                <c:pt idx="2">
                  <c:v>0.22964190862644598</c:v>
                </c:pt>
                <c:pt idx="3">
                  <c:v>0.20700809519086699</c:v>
                </c:pt>
                <c:pt idx="4">
                  <c:v>0.22928682720440602</c:v>
                </c:pt>
                <c:pt idx="5">
                  <c:v>0.20611562109276299</c:v>
                </c:pt>
                <c:pt idx="6">
                  <c:v>0.228699591048106</c:v>
                </c:pt>
                <c:pt idx="7">
                  <c:v>0.20620003590967301</c:v>
                </c:pt>
                <c:pt idx="8">
                  <c:v>0.19479041439320599</c:v>
                </c:pt>
                <c:pt idx="9">
                  <c:v>0.17849683102330899</c:v>
                </c:pt>
                <c:pt idx="10">
                  <c:v>0.16893182115817598</c:v>
                </c:pt>
                <c:pt idx="11">
                  <c:v>0.15532515274053599</c:v>
                </c:pt>
                <c:pt idx="12">
                  <c:v>0.16762176799853801</c:v>
                </c:pt>
                <c:pt idx="13">
                  <c:v>0.15388458610294001</c:v>
                </c:pt>
                <c:pt idx="14">
                  <c:v>0.166115884058471</c:v>
                </c:pt>
                <c:pt idx="15">
                  <c:v>0.152010872698049</c:v>
                </c:pt>
                <c:pt idx="16">
                  <c:v>0.19170956426013</c:v>
                </c:pt>
                <c:pt idx="17">
                  <c:v>0.174702293854096</c:v>
                </c:pt>
                <c:pt idx="18">
                  <c:v>0.164748500163134</c:v>
                </c:pt>
                <c:pt idx="19">
                  <c:v>0.15010639486480501</c:v>
                </c:pt>
                <c:pt idx="20">
                  <c:v>0.16260047351048301</c:v>
                </c:pt>
                <c:pt idx="21">
                  <c:v>0.14807303314241499</c:v>
                </c:pt>
                <c:pt idx="22">
                  <c:v>0.157479630790754</c:v>
                </c:pt>
                <c:pt idx="23">
                  <c:v>0.144324447685763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DA-4F38-A1C5-8E5F5CC35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990991"/>
        <c:axId val="1104991951"/>
      </c:barChart>
      <c:catAx>
        <c:axId val="110499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1951"/>
        <c:crosses val="autoZero"/>
        <c:auto val="1"/>
        <c:lblAlgn val="ctr"/>
        <c:lblOffset val="100"/>
        <c:noMultiLvlLbl val="0"/>
      </c:catAx>
      <c:valAx>
        <c:axId val="1104991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Active Mobility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selected_active_shares!$A$2</c:f>
              <c:strCache>
                <c:ptCount val="1"/>
                <c:pt idx="0">
                  <c:v>None &amp; None &amp; None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selected_active_shares!$B$2:$Q$2</c:f>
              <c:numCache>
                <c:formatCode>0.0%</c:formatCode>
                <c:ptCount val="16"/>
                <c:pt idx="0">
                  <c:v>0.41190383306608302</c:v>
                </c:pt>
                <c:pt idx="1">
                  <c:v>0.415026935012203</c:v>
                </c:pt>
                <c:pt idx="2">
                  <c:v>0.41759616600825</c:v>
                </c:pt>
                <c:pt idx="3">
                  <c:v>0.41941957042446898</c:v>
                </c:pt>
                <c:pt idx="4">
                  <c:v>0.42143062467467302</c:v>
                </c:pt>
                <c:pt idx="5">
                  <c:v>0.42335137401471301</c:v>
                </c:pt>
                <c:pt idx="6">
                  <c:v>0.42568918505087699</c:v>
                </c:pt>
                <c:pt idx="7">
                  <c:v>0.42728144960061798</c:v>
                </c:pt>
                <c:pt idx="8">
                  <c:v>0.42874443034380399</c:v>
                </c:pt>
                <c:pt idx="9">
                  <c:v>0.43034215142075199</c:v>
                </c:pt>
                <c:pt idx="10">
                  <c:v>0.43152845709172299</c:v>
                </c:pt>
                <c:pt idx="11">
                  <c:v>0.43262374327386599</c:v>
                </c:pt>
                <c:pt idx="12">
                  <c:v>0.43392872615491801</c:v>
                </c:pt>
                <c:pt idx="13">
                  <c:v>0.43492838584153298</c:v>
                </c:pt>
                <c:pt idx="14">
                  <c:v>0.43614825535149199</c:v>
                </c:pt>
                <c:pt idx="15">
                  <c:v>0.43661754886792398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1-46BC-894C-DA77AC461B94}"/>
            </c:ext>
          </c:extLst>
        </c:ser>
        <c:ser>
          <c:idx val="1"/>
          <c:order val="1"/>
          <c:tx>
            <c:strRef>
              <c:f>selected_active_shares!$A$3</c:f>
              <c:strCache>
                <c:ptCount val="1"/>
                <c:pt idx="0">
                  <c:v>None &amp; 2060 &amp; None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selected_active_shares!$B$3:$Q$3</c:f>
              <c:numCache>
                <c:formatCode>0.0%</c:formatCode>
                <c:ptCount val="16"/>
                <c:pt idx="0">
                  <c:v>0.41190383306608302</c:v>
                </c:pt>
                <c:pt idx="1">
                  <c:v>0.41583507225444</c:v>
                </c:pt>
                <c:pt idx="2">
                  <c:v>0.418828407753431</c:v>
                </c:pt>
                <c:pt idx="3">
                  <c:v>0.42192201696777798</c:v>
                </c:pt>
                <c:pt idx="4">
                  <c:v>0.42499934342707801</c:v>
                </c:pt>
                <c:pt idx="5">
                  <c:v>0.428235576171002</c:v>
                </c:pt>
                <c:pt idx="6">
                  <c:v>0.43061991253162601</c:v>
                </c:pt>
                <c:pt idx="7">
                  <c:v>0.43320550904398902</c:v>
                </c:pt>
                <c:pt idx="8">
                  <c:v>0.43556542902328999</c:v>
                </c:pt>
                <c:pt idx="9">
                  <c:v>0.43800035747112098</c:v>
                </c:pt>
                <c:pt idx="10">
                  <c:v>0.44051894425916099</c:v>
                </c:pt>
                <c:pt idx="11">
                  <c:v>0.44323617810216498</c:v>
                </c:pt>
                <c:pt idx="12">
                  <c:v>0.44540434494178799</c:v>
                </c:pt>
                <c:pt idx="13">
                  <c:v>0.44760123950300801</c:v>
                </c:pt>
                <c:pt idx="14">
                  <c:v>0.44959447868132002</c:v>
                </c:pt>
                <c:pt idx="15">
                  <c:v>0.45136808565977499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1-46BC-894C-DA77AC461B94}"/>
            </c:ext>
          </c:extLst>
        </c:ser>
        <c:ser>
          <c:idx val="2"/>
          <c:order val="2"/>
          <c:tx>
            <c:strRef>
              <c:f>selected_active_shares!$A$4</c:f>
              <c:strCache>
                <c:ptCount val="1"/>
                <c:pt idx="0">
                  <c:v>Peers &amp; None &amp; None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selected_active_shares!$B$4:$Q$4</c:f>
              <c:numCache>
                <c:formatCode>0.0%</c:formatCode>
                <c:ptCount val="16"/>
                <c:pt idx="0">
                  <c:v>0.41442862634430599</c:v>
                </c:pt>
                <c:pt idx="1">
                  <c:v>0.42056384648655498</c:v>
                </c:pt>
                <c:pt idx="2">
                  <c:v>0.42743447156233999</c:v>
                </c:pt>
                <c:pt idx="3">
                  <c:v>0.43402148050239697</c:v>
                </c:pt>
                <c:pt idx="4">
                  <c:v>0.44151311624668699</c:v>
                </c:pt>
                <c:pt idx="5">
                  <c:v>0.44818230168810802</c:v>
                </c:pt>
                <c:pt idx="6">
                  <c:v>0.45535298070505598</c:v>
                </c:pt>
                <c:pt idx="7">
                  <c:v>0.46325725452744199</c:v>
                </c:pt>
                <c:pt idx="8">
                  <c:v>0.47063755986025202</c:v>
                </c:pt>
                <c:pt idx="9">
                  <c:v>0.47823762612883097</c:v>
                </c:pt>
                <c:pt idx="10">
                  <c:v>0.48721851606779998</c:v>
                </c:pt>
                <c:pt idx="11">
                  <c:v>0.49525986982148201</c:v>
                </c:pt>
                <c:pt idx="12">
                  <c:v>0.50313928794532203</c:v>
                </c:pt>
                <c:pt idx="13">
                  <c:v>0.510728055744052</c:v>
                </c:pt>
                <c:pt idx="14">
                  <c:v>0.51768909516162098</c:v>
                </c:pt>
                <c:pt idx="15">
                  <c:v>0.52576900482897804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B1-46BC-894C-DA77AC461B94}"/>
            </c:ext>
          </c:extLst>
        </c:ser>
        <c:ser>
          <c:idx val="3"/>
          <c:order val="3"/>
          <c:tx>
            <c:strRef>
              <c:f>selected_active_shares!$A$5</c:f>
              <c:strCache>
                <c:ptCount val="1"/>
                <c:pt idx="0">
                  <c:v>Peers &amp; 2060 &amp; 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selected_active_shares!$B$5:$Q$5</c:f>
              <c:numCache>
                <c:formatCode>0.0%</c:formatCode>
                <c:ptCount val="16"/>
                <c:pt idx="0">
                  <c:v>0.41442862634430599</c:v>
                </c:pt>
                <c:pt idx="1">
                  <c:v>0.42113940376411602</c:v>
                </c:pt>
                <c:pt idx="2">
                  <c:v>0.42830279755221801</c:v>
                </c:pt>
                <c:pt idx="3">
                  <c:v>0.43716175193984402</c:v>
                </c:pt>
                <c:pt idx="4">
                  <c:v>0.446931946047183</c:v>
                </c:pt>
                <c:pt idx="5">
                  <c:v>0.45729986984348198</c:v>
                </c:pt>
                <c:pt idx="6">
                  <c:v>0.467272435613026</c:v>
                </c:pt>
                <c:pt idx="7">
                  <c:v>0.47811522526455402</c:v>
                </c:pt>
                <c:pt idx="8">
                  <c:v>0.49144363683111603</c:v>
                </c:pt>
                <c:pt idx="9">
                  <c:v>0.50409639629134995</c:v>
                </c:pt>
                <c:pt idx="10">
                  <c:v>0.516762289683524</c:v>
                </c:pt>
                <c:pt idx="11">
                  <c:v>0.52948679271496601</c:v>
                </c:pt>
                <c:pt idx="12">
                  <c:v>0.54341922152292599</c:v>
                </c:pt>
                <c:pt idx="13">
                  <c:v>0.55613792845741095</c:v>
                </c:pt>
                <c:pt idx="14">
                  <c:v>0.56858442864165804</c:v>
                </c:pt>
                <c:pt idx="15">
                  <c:v>0.58215376730077795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B1-46BC-894C-DA77AC461B94}"/>
            </c:ext>
          </c:extLst>
        </c:ser>
        <c:ser>
          <c:idx val="4"/>
          <c:order val="4"/>
          <c:tx>
            <c:strRef>
              <c:f>selected_active_shares!$A$6</c:f>
              <c:strCache>
                <c:ptCount val="1"/>
                <c:pt idx="0">
                  <c:v>Peers &amp; 2060 &amp; Zoning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selected_active_shares!$B$6:$Q$6</c:f>
              <c:numCache>
                <c:formatCode>0.0%</c:formatCode>
                <c:ptCount val="16"/>
                <c:pt idx="0">
                  <c:v>0.41442862634430599</c:v>
                </c:pt>
                <c:pt idx="1">
                  <c:v>0.42113940376411602</c:v>
                </c:pt>
                <c:pt idx="2">
                  <c:v>0.428307791326278</c:v>
                </c:pt>
                <c:pt idx="3">
                  <c:v>0.43749380992980103</c:v>
                </c:pt>
                <c:pt idx="4">
                  <c:v>0.44777596718789803</c:v>
                </c:pt>
                <c:pt idx="5">
                  <c:v>0.45760099985262298</c:v>
                </c:pt>
                <c:pt idx="6">
                  <c:v>0.46890332208569901</c:v>
                </c:pt>
                <c:pt idx="7">
                  <c:v>0.481320544395345</c:v>
                </c:pt>
                <c:pt idx="8">
                  <c:v>0.49350687247497899</c:v>
                </c:pt>
                <c:pt idx="9">
                  <c:v>0.51422221734520701</c:v>
                </c:pt>
                <c:pt idx="10">
                  <c:v>0.53037693812079201</c:v>
                </c:pt>
                <c:pt idx="11">
                  <c:v>0.54266881189051497</c:v>
                </c:pt>
                <c:pt idx="12">
                  <c:v>0.55480326120336498</c:v>
                </c:pt>
                <c:pt idx="13">
                  <c:v>0.56691307096779997</c:v>
                </c:pt>
                <c:pt idx="14">
                  <c:v>0.57849772624231499</c:v>
                </c:pt>
                <c:pt idx="15">
                  <c:v>0.59234281072792705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B1-46BC-894C-DA77AC461B94}"/>
            </c:ext>
          </c:extLst>
        </c:ser>
        <c:ser>
          <c:idx val="5"/>
          <c:order val="5"/>
          <c:tx>
            <c:strRef>
              <c:f>selected_active_shares!$A$7</c:f>
              <c:strCache>
                <c:ptCount val="1"/>
                <c:pt idx="0">
                  <c:v>Peers &amp; Early 2060 &amp; None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selected_active_shares!$B$7:$Q$7</c:f>
              <c:numCache>
                <c:formatCode>0.0%</c:formatCode>
                <c:ptCount val="16"/>
                <c:pt idx="0">
                  <c:v>0.41442862634430599</c:v>
                </c:pt>
                <c:pt idx="1">
                  <c:v>0.42113940376411602</c:v>
                </c:pt>
                <c:pt idx="2">
                  <c:v>0.42830279755221801</c:v>
                </c:pt>
                <c:pt idx="3">
                  <c:v>0.43716175193984402</c:v>
                </c:pt>
                <c:pt idx="4">
                  <c:v>0.446931946047183</c:v>
                </c:pt>
                <c:pt idx="5">
                  <c:v>0.45729986984348198</c:v>
                </c:pt>
                <c:pt idx="6">
                  <c:v>0.46842057905913898</c:v>
                </c:pt>
                <c:pt idx="7">
                  <c:v>0.47901968300958297</c:v>
                </c:pt>
                <c:pt idx="8">
                  <c:v>0.49352585043105901</c:v>
                </c:pt>
                <c:pt idx="9">
                  <c:v>0.50848256437438399</c:v>
                </c:pt>
                <c:pt idx="10">
                  <c:v>0.52252570086361205</c:v>
                </c:pt>
                <c:pt idx="11">
                  <c:v>0.53675148075853596</c:v>
                </c:pt>
                <c:pt idx="12">
                  <c:v>0.54935014486172695</c:v>
                </c:pt>
                <c:pt idx="13">
                  <c:v>0.56155142686019499</c:v>
                </c:pt>
                <c:pt idx="14">
                  <c:v>0.57345287261114997</c:v>
                </c:pt>
                <c:pt idx="15">
                  <c:v>0.58705488572318798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B1-46BC-894C-DA77AC461B94}"/>
            </c:ext>
          </c:extLst>
        </c:ser>
        <c:ser>
          <c:idx val="6"/>
          <c:order val="6"/>
          <c:tx>
            <c:strRef>
              <c:f>selected_active_shares!$A$8</c:f>
              <c:strCache>
                <c:ptCount val="1"/>
                <c:pt idx="0">
                  <c:v>Peers &amp; Early 2060 &amp; Zoning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selected_active_shares!$B$1:$Q$1</c:f>
              <c:numCache>
                <c:formatCode>General</c:formatCode>
                <c:ptCount val="1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</c:numCache>
            </c:numRef>
          </c:cat>
          <c:val>
            <c:numRef>
              <c:f>selected_active_shares!$B$8:$Q$8</c:f>
              <c:numCache>
                <c:formatCode>0.0%</c:formatCode>
                <c:ptCount val="16"/>
                <c:pt idx="0">
                  <c:v>0.41442862634430599</c:v>
                </c:pt>
                <c:pt idx="1">
                  <c:v>0.42113940376411602</c:v>
                </c:pt>
                <c:pt idx="2">
                  <c:v>0.428307791326278</c:v>
                </c:pt>
                <c:pt idx="3">
                  <c:v>0.43749380992980103</c:v>
                </c:pt>
                <c:pt idx="4">
                  <c:v>0.44777596718789803</c:v>
                </c:pt>
                <c:pt idx="5">
                  <c:v>0.45760099985262298</c:v>
                </c:pt>
                <c:pt idx="6">
                  <c:v>0.46951916669702398</c:v>
                </c:pt>
                <c:pt idx="7">
                  <c:v>0.48281268784209003</c:v>
                </c:pt>
                <c:pt idx="8">
                  <c:v>0.49759356601613602</c:v>
                </c:pt>
                <c:pt idx="9">
                  <c:v>0.52025096400370496</c:v>
                </c:pt>
                <c:pt idx="10">
                  <c:v>0.537842640289666</c:v>
                </c:pt>
                <c:pt idx="11">
                  <c:v>0.55065500998579597</c:v>
                </c:pt>
                <c:pt idx="12">
                  <c:v>0.56351929828865299</c:v>
                </c:pt>
                <c:pt idx="13">
                  <c:v>0.57564963256936996</c:v>
                </c:pt>
                <c:pt idx="14">
                  <c:v>0.58661784857923804</c:v>
                </c:pt>
                <c:pt idx="15">
                  <c:v>0.598960299611768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B1-46BC-894C-DA77AC46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774064"/>
        <c:axId val="1121774544"/>
      </c:lineChart>
      <c:catAx>
        <c:axId val="11217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74544"/>
        <c:crosses val="autoZero"/>
        <c:auto val="1"/>
        <c:lblAlgn val="ctr"/>
        <c:lblOffset val="100"/>
        <c:noMultiLvlLbl val="0"/>
      </c:catAx>
      <c:valAx>
        <c:axId val="1121774544"/>
        <c:scaling>
          <c:orientation val="minMax"/>
          <c:max val="0.62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selected_active_shares!$S$1</c:f>
              <c:strCache>
                <c:ptCount val="1"/>
                <c:pt idx="0">
                  <c:v>Difference from BAU in 2040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selected_active_shares!$R$3:$R$8</c:f>
              <c:strCache>
                <c:ptCount val="6"/>
                <c:pt idx="0">
                  <c:v>None &amp; 2055 &amp; None</c:v>
                </c:pt>
                <c:pt idx="1">
                  <c:v>Peers &amp; None &amp; None</c:v>
                </c:pt>
                <c:pt idx="2">
                  <c:v>Peers &amp; 2055 &amp; None</c:v>
                </c:pt>
                <c:pt idx="3">
                  <c:v>Peers &amp; 2055 &amp; Zoning</c:v>
                </c:pt>
                <c:pt idx="4">
                  <c:v>Peers &amp; Early 2055 &amp; None</c:v>
                </c:pt>
                <c:pt idx="5">
                  <c:v>Peers &amp; Early 2055 &amp; Zoning</c:v>
                </c:pt>
              </c:strCache>
            </c:strRef>
          </c:cat>
          <c:val>
            <c:numRef>
              <c:f>selected_active_shares!$S$3:$S$8</c:f>
              <c:numCache>
                <c:formatCode>0.0%</c:formatCode>
                <c:ptCount val="6"/>
                <c:pt idx="0">
                  <c:v>1.475053679185101E-2</c:v>
                </c:pt>
                <c:pt idx="1">
                  <c:v>6.7402792794382049E-2</c:v>
                </c:pt>
                <c:pt idx="2">
                  <c:v>0.11886327891260101</c:v>
                </c:pt>
                <c:pt idx="3">
                  <c:v>0.13155279891557498</c:v>
                </c:pt>
                <c:pt idx="4">
                  <c:v>0.12732743845035605</c:v>
                </c:pt>
                <c:pt idx="5">
                  <c:v>0.13803584390014206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1-431F-B794-F418A56F7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315376"/>
        <c:axId val="1264321616"/>
      </c:barChart>
      <c:catAx>
        <c:axId val="12643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21616"/>
        <c:crosses val="autoZero"/>
        <c:auto val="1"/>
        <c:lblAlgn val="ctr"/>
        <c:lblOffset val="100"/>
        <c:noMultiLvlLbl val="0"/>
      </c:catAx>
      <c:valAx>
        <c:axId val="12643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Cycling</a:t>
            </a:r>
            <a:r>
              <a:rPr lang="en-US" baseline="0"/>
              <a:t> lane development in the 2nd district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infra_scenarios!$B$2</c:f>
              <c:strCache>
                <c:ptCount val="1"/>
                <c:pt idx="0">
                  <c:v>1st district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infra_scenarios!$C$2:$AH$2</c:f>
              <c:numCache>
                <c:formatCode>General</c:formatCode>
                <c:ptCount val="32"/>
                <c:pt idx="0">
                  <c:v>9.5583188299999993</c:v>
                </c:pt>
                <c:pt idx="1">
                  <c:v>9.5583188299999993</c:v>
                </c:pt>
                <c:pt idx="2">
                  <c:v>9.5583188299999993</c:v>
                </c:pt>
                <c:pt idx="3">
                  <c:v>9.5583188299999993</c:v>
                </c:pt>
                <c:pt idx="4">
                  <c:v>9.5583188299999993</c:v>
                </c:pt>
                <c:pt idx="5">
                  <c:v>9.5583188299999993</c:v>
                </c:pt>
                <c:pt idx="6">
                  <c:v>9.5583188299999993</c:v>
                </c:pt>
                <c:pt idx="7">
                  <c:v>9.5583188299999993</c:v>
                </c:pt>
                <c:pt idx="8">
                  <c:v>9.5583188299999993</c:v>
                </c:pt>
                <c:pt idx="9">
                  <c:v>9.5583188299999993</c:v>
                </c:pt>
                <c:pt idx="10">
                  <c:v>9.5583188299999993</c:v>
                </c:pt>
                <c:pt idx="11">
                  <c:v>9.5583188299999993</c:v>
                </c:pt>
                <c:pt idx="12">
                  <c:v>9.5583188299999993</c:v>
                </c:pt>
                <c:pt idx="13">
                  <c:v>9.5583188299999993</c:v>
                </c:pt>
                <c:pt idx="14">
                  <c:v>9.5583188299999993</c:v>
                </c:pt>
                <c:pt idx="15">
                  <c:v>9.5583188299999993</c:v>
                </c:pt>
                <c:pt idx="16">
                  <c:v>9.5583188299999993</c:v>
                </c:pt>
                <c:pt idx="17">
                  <c:v>9.5583188299999993</c:v>
                </c:pt>
                <c:pt idx="18">
                  <c:v>9.5583188299999993</c:v>
                </c:pt>
                <c:pt idx="19">
                  <c:v>9.5583188299999993</c:v>
                </c:pt>
                <c:pt idx="20">
                  <c:v>9.5583188299999993</c:v>
                </c:pt>
                <c:pt idx="21">
                  <c:v>9.5583188299999993</c:v>
                </c:pt>
                <c:pt idx="22">
                  <c:v>9.5583188299999993</c:v>
                </c:pt>
                <c:pt idx="23">
                  <c:v>9.5583188299999993</c:v>
                </c:pt>
                <c:pt idx="24">
                  <c:v>9.5583188299999993</c:v>
                </c:pt>
                <c:pt idx="25">
                  <c:v>9.5583188299999993</c:v>
                </c:pt>
                <c:pt idx="26">
                  <c:v>9.5583188299999993</c:v>
                </c:pt>
                <c:pt idx="27">
                  <c:v>9.5583188299999993</c:v>
                </c:pt>
                <c:pt idx="28">
                  <c:v>9.5583188299999993</c:v>
                </c:pt>
                <c:pt idx="29">
                  <c:v>9.5583188299999993</c:v>
                </c:pt>
                <c:pt idx="30">
                  <c:v>9.5583188299999993</c:v>
                </c:pt>
                <c:pt idx="31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E-4D4A-86DE-BA2BC9EFFC90}"/>
            </c:ext>
          </c:extLst>
        </c:ser>
        <c:ser>
          <c:idx val="1"/>
          <c:order val="1"/>
          <c:tx>
            <c:strRef>
              <c:f>infra_scenarios!$B$3</c:f>
              <c:strCache>
                <c:ptCount val="1"/>
                <c:pt idx="0">
                  <c:v>2055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infra_scenarios!$C$3:$AH$3</c:f>
              <c:numCache>
                <c:formatCode>General</c:formatCode>
                <c:ptCount val="32"/>
                <c:pt idx="0">
                  <c:v>4.1784924940000003</c:v>
                </c:pt>
                <c:pt idx="1">
                  <c:v>4.1784924940000003</c:v>
                </c:pt>
                <c:pt idx="2">
                  <c:v>4.3578200389999999</c:v>
                </c:pt>
                <c:pt idx="3">
                  <c:v>4.5371475830000003</c:v>
                </c:pt>
                <c:pt idx="4">
                  <c:v>4.7164751279999999</c:v>
                </c:pt>
                <c:pt idx="5">
                  <c:v>4.8958026720000003</c:v>
                </c:pt>
                <c:pt idx="6">
                  <c:v>5.0751302169999999</c:v>
                </c:pt>
                <c:pt idx="7">
                  <c:v>5.2544577610000003</c:v>
                </c:pt>
                <c:pt idx="8">
                  <c:v>5.4337853059999999</c:v>
                </c:pt>
                <c:pt idx="9">
                  <c:v>5.6131128500000003</c:v>
                </c:pt>
                <c:pt idx="10">
                  <c:v>5.7924403949999999</c:v>
                </c:pt>
                <c:pt idx="11">
                  <c:v>5.9717679390000002</c:v>
                </c:pt>
                <c:pt idx="12">
                  <c:v>6.1510954839999998</c:v>
                </c:pt>
                <c:pt idx="13">
                  <c:v>6.3304230280000002</c:v>
                </c:pt>
                <c:pt idx="14">
                  <c:v>6.5097505729999998</c:v>
                </c:pt>
                <c:pt idx="15">
                  <c:v>6.6890781170000002</c:v>
                </c:pt>
                <c:pt idx="16">
                  <c:v>6.8684056619999998</c:v>
                </c:pt>
                <c:pt idx="17">
                  <c:v>7.0477332070000003</c:v>
                </c:pt>
                <c:pt idx="18">
                  <c:v>7.2270607509999998</c:v>
                </c:pt>
                <c:pt idx="19">
                  <c:v>7.4063882960000003</c:v>
                </c:pt>
                <c:pt idx="20">
                  <c:v>7.5857158399999998</c:v>
                </c:pt>
                <c:pt idx="21">
                  <c:v>7.7650433850000002</c:v>
                </c:pt>
                <c:pt idx="22">
                  <c:v>7.9443709289999997</c:v>
                </c:pt>
                <c:pt idx="23">
                  <c:v>8.1236984739999993</c:v>
                </c:pt>
                <c:pt idx="24">
                  <c:v>8.3030260180000006</c:v>
                </c:pt>
                <c:pt idx="25">
                  <c:v>8.4823535630000002</c:v>
                </c:pt>
                <c:pt idx="26">
                  <c:v>8.6616811069999997</c:v>
                </c:pt>
                <c:pt idx="27">
                  <c:v>8.8410086519999993</c:v>
                </c:pt>
                <c:pt idx="28">
                  <c:v>9.0203361960000006</c:v>
                </c:pt>
                <c:pt idx="29">
                  <c:v>9.1996637410000002</c:v>
                </c:pt>
                <c:pt idx="30">
                  <c:v>9.3789912849999997</c:v>
                </c:pt>
                <c:pt idx="31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E-4D4A-86DE-BA2BC9EFFC90}"/>
            </c:ext>
          </c:extLst>
        </c:ser>
        <c:ser>
          <c:idx val="2"/>
          <c:order val="2"/>
          <c:tx>
            <c:strRef>
              <c:f>infra_scenarios!$B$4</c:f>
              <c:strCache>
                <c:ptCount val="1"/>
                <c:pt idx="0">
                  <c:v>Early 2055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infra_scenarios!$C$4:$AH$4</c:f>
              <c:numCache>
                <c:formatCode>General</c:formatCode>
                <c:ptCount val="32"/>
                <c:pt idx="0">
                  <c:v>4.1784924940000003</c:v>
                </c:pt>
                <c:pt idx="1">
                  <c:v>4.1784924940000003</c:v>
                </c:pt>
                <c:pt idx="2">
                  <c:v>4.3578200389999999</c:v>
                </c:pt>
                <c:pt idx="3">
                  <c:v>4.5371475830000003</c:v>
                </c:pt>
                <c:pt idx="4">
                  <c:v>4.7164751279999999</c:v>
                </c:pt>
                <c:pt idx="5">
                  <c:v>4.8958026720000003</c:v>
                </c:pt>
                <c:pt idx="6">
                  <c:v>5.0751302169999999</c:v>
                </c:pt>
                <c:pt idx="7">
                  <c:v>5.4337853059999999</c:v>
                </c:pt>
                <c:pt idx="8">
                  <c:v>5.7924403949999999</c:v>
                </c:pt>
                <c:pt idx="9">
                  <c:v>6.1510954839999998</c:v>
                </c:pt>
                <c:pt idx="10">
                  <c:v>6.5097505729999998</c:v>
                </c:pt>
                <c:pt idx="11">
                  <c:v>6.8684056619999998</c:v>
                </c:pt>
                <c:pt idx="12">
                  <c:v>6.8684056619999998</c:v>
                </c:pt>
                <c:pt idx="13">
                  <c:v>6.8684056619999998</c:v>
                </c:pt>
                <c:pt idx="14">
                  <c:v>6.8684056619999998</c:v>
                </c:pt>
                <c:pt idx="15">
                  <c:v>6.8684056619999998</c:v>
                </c:pt>
                <c:pt idx="16">
                  <c:v>6.8684056619999998</c:v>
                </c:pt>
                <c:pt idx="17">
                  <c:v>7.0477332070000003</c:v>
                </c:pt>
                <c:pt idx="18">
                  <c:v>7.2270607509999998</c:v>
                </c:pt>
                <c:pt idx="19">
                  <c:v>7.4063882960000003</c:v>
                </c:pt>
                <c:pt idx="20">
                  <c:v>7.5857158399999998</c:v>
                </c:pt>
                <c:pt idx="21">
                  <c:v>7.7650433850000002</c:v>
                </c:pt>
                <c:pt idx="22">
                  <c:v>7.9443709289999997</c:v>
                </c:pt>
                <c:pt idx="23">
                  <c:v>8.1236984739999993</c:v>
                </c:pt>
                <c:pt idx="24">
                  <c:v>8.3030260180000006</c:v>
                </c:pt>
                <c:pt idx="25">
                  <c:v>8.4823535630000002</c:v>
                </c:pt>
                <c:pt idx="26">
                  <c:v>8.6616811069999997</c:v>
                </c:pt>
                <c:pt idx="27">
                  <c:v>8.8410086519999993</c:v>
                </c:pt>
                <c:pt idx="28">
                  <c:v>9.0203361960000006</c:v>
                </c:pt>
                <c:pt idx="29">
                  <c:v>9.1996637410000002</c:v>
                </c:pt>
                <c:pt idx="30">
                  <c:v>9.3789912849999997</c:v>
                </c:pt>
                <c:pt idx="31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E-4D4A-86DE-BA2BC9EFFC90}"/>
            </c:ext>
          </c:extLst>
        </c:ser>
        <c:ser>
          <c:idx val="3"/>
          <c:order val="3"/>
          <c:tx>
            <c:strRef>
              <c:f>infra_scenarios!$B$5</c:f>
              <c:strCache>
                <c:ptCount val="1"/>
                <c:pt idx="0">
                  <c:v>2045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infra_scenarios!$C$5:$AH$5</c:f>
              <c:numCache>
                <c:formatCode>General</c:formatCode>
                <c:ptCount val="32"/>
                <c:pt idx="0">
                  <c:v>4.1784924940000003</c:v>
                </c:pt>
                <c:pt idx="1">
                  <c:v>4.1784924940000003</c:v>
                </c:pt>
                <c:pt idx="2">
                  <c:v>4.4474838109999997</c:v>
                </c:pt>
                <c:pt idx="3">
                  <c:v>4.7164751279999999</c:v>
                </c:pt>
                <c:pt idx="4">
                  <c:v>4.9854664440000001</c:v>
                </c:pt>
                <c:pt idx="5">
                  <c:v>5.2544577610000003</c:v>
                </c:pt>
                <c:pt idx="6">
                  <c:v>5.5234490779999996</c:v>
                </c:pt>
                <c:pt idx="7">
                  <c:v>5.7924403949999999</c:v>
                </c:pt>
                <c:pt idx="8">
                  <c:v>6.0614317120000001</c:v>
                </c:pt>
                <c:pt idx="9">
                  <c:v>6.3304230280000002</c:v>
                </c:pt>
                <c:pt idx="10">
                  <c:v>6.5994143449999996</c:v>
                </c:pt>
                <c:pt idx="11">
                  <c:v>6.8684056619999998</c:v>
                </c:pt>
                <c:pt idx="12">
                  <c:v>7.137396979</c:v>
                </c:pt>
                <c:pt idx="13">
                  <c:v>7.4063882960000003</c:v>
                </c:pt>
                <c:pt idx="14">
                  <c:v>7.6753796120000004</c:v>
                </c:pt>
                <c:pt idx="15">
                  <c:v>7.9443709289999997</c:v>
                </c:pt>
                <c:pt idx="16">
                  <c:v>8.2133622460000009</c:v>
                </c:pt>
                <c:pt idx="17">
                  <c:v>8.4823535630000002</c:v>
                </c:pt>
                <c:pt idx="18">
                  <c:v>8.7513448799999995</c:v>
                </c:pt>
                <c:pt idx="19">
                  <c:v>9.0203361960000006</c:v>
                </c:pt>
                <c:pt idx="20">
                  <c:v>9.2893275129999999</c:v>
                </c:pt>
                <c:pt idx="21">
                  <c:v>9.5583188299999993</c:v>
                </c:pt>
                <c:pt idx="22">
                  <c:v>9.5583188299999993</c:v>
                </c:pt>
                <c:pt idx="23">
                  <c:v>9.5583188299999993</c:v>
                </c:pt>
                <c:pt idx="24">
                  <c:v>9.5583188299999993</c:v>
                </c:pt>
                <c:pt idx="25">
                  <c:v>9.5583188299999993</c:v>
                </c:pt>
                <c:pt idx="26">
                  <c:v>9.5583188299999993</c:v>
                </c:pt>
                <c:pt idx="27">
                  <c:v>9.5583188299999993</c:v>
                </c:pt>
                <c:pt idx="28">
                  <c:v>9.5583188299999993</c:v>
                </c:pt>
                <c:pt idx="29">
                  <c:v>9.5583188299999993</c:v>
                </c:pt>
                <c:pt idx="30">
                  <c:v>9.5583188299999993</c:v>
                </c:pt>
                <c:pt idx="31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E-4D4A-86DE-BA2BC9EFFC90}"/>
            </c:ext>
          </c:extLst>
        </c:ser>
        <c:ser>
          <c:idx val="4"/>
          <c:order val="4"/>
          <c:tx>
            <c:strRef>
              <c:f>infra_scenarios!$B$6</c:f>
              <c:strCache>
                <c:ptCount val="1"/>
                <c:pt idx="0">
                  <c:v>2050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infra_scenarios!$C$6:$AH$6</c:f>
              <c:numCache>
                <c:formatCode>General</c:formatCode>
                <c:ptCount val="32"/>
                <c:pt idx="0">
                  <c:v>4.1784924940000003</c:v>
                </c:pt>
                <c:pt idx="1">
                  <c:v>4.1784924940000003</c:v>
                </c:pt>
                <c:pt idx="2">
                  <c:v>4.3936855474400005</c:v>
                </c:pt>
                <c:pt idx="3">
                  <c:v>4.6088786008800007</c:v>
                </c:pt>
                <c:pt idx="4">
                  <c:v>4.8240716543200008</c:v>
                </c:pt>
                <c:pt idx="5">
                  <c:v>5.0392647077600001</c:v>
                </c:pt>
                <c:pt idx="6">
                  <c:v>5.2544577612000003</c:v>
                </c:pt>
                <c:pt idx="7">
                  <c:v>5.6848438680800006</c:v>
                </c:pt>
                <c:pt idx="8">
                  <c:v>6.1152299749600001</c:v>
                </c:pt>
                <c:pt idx="9">
                  <c:v>6.5456160818399995</c:v>
                </c:pt>
                <c:pt idx="10">
                  <c:v>6.976002188719999</c:v>
                </c:pt>
                <c:pt idx="11">
                  <c:v>7.4063882955999993</c:v>
                </c:pt>
                <c:pt idx="12">
                  <c:v>7.4063882955999993</c:v>
                </c:pt>
                <c:pt idx="13">
                  <c:v>7.4063882955999993</c:v>
                </c:pt>
                <c:pt idx="14">
                  <c:v>7.4063882955999993</c:v>
                </c:pt>
                <c:pt idx="15">
                  <c:v>7.4063882955999993</c:v>
                </c:pt>
                <c:pt idx="16">
                  <c:v>7.4063882955999993</c:v>
                </c:pt>
                <c:pt idx="17">
                  <c:v>7.6215813490399995</c:v>
                </c:pt>
                <c:pt idx="18">
                  <c:v>7.8367744024799997</c:v>
                </c:pt>
                <c:pt idx="19">
                  <c:v>8.0519674559199998</c:v>
                </c:pt>
                <c:pt idx="20">
                  <c:v>8.26716050936</c:v>
                </c:pt>
                <c:pt idx="21">
                  <c:v>8.4823535628000002</c:v>
                </c:pt>
                <c:pt idx="22">
                  <c:v>8.6975466162399986</c:v>
                </c:pt>
                <c:pt idx="23">
                  <c:v>8.9127396696799988</c:v>
                </c:pt>
                <c:pt idx="24">
                  <c:v>9.1279327231199989</c:v>
                </c:pt>
                <c:pt idx="25">
                  <c:v>9.3431257765599991</c:v>
                </c:pt>
                <c:pt idx="26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EE-4D4A-86DE-BA2BC9EFFC90}"/>
            </c:ext>
          </c:extLst>
        </c:ser>
        <c:ser>
          <c:idx val="5"/>
          <c:order val="5"/>
          <c:tx>
            <c:strRef>
              <c:f>infra_scenarios!$B$7</c:f>
              <c:strCache>
                <c:ptCount val="1"/>
                <c:pt idx="0">
                  <c:v>Early 2050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infra_scenarios!$C$1:$AH$1</c:f>
              <c:numCache>
                <c:formatCode>General</c:formatCode>
                <c:ptCount val="32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</c:numCache>
            </c:numRef>
          </c:cat>
          <c:val>
            <c:numRef>
              <c:f>infra_scenarios!$C$7:$AH$7</c:f>
              <c:numCache>
                <c:formatCode>General</c:formatCode>
                <c:ptCount val="32"/>
                <c:pt idx="0">
                  <c:v>4.1784924940000003</c:v>
                </c:pt>
                <c:pt idx="1">
                  <c:v>4.1784924940000003</c:v>
                </c:pt>
                <c:pt idx="2">
                  <c:v>4.3936855474400005</c:v>
                </c:pt>
                <c:pt idx="3">
                  <c:v>4.6088786008800007</c:v>
                </c:pt>
                <c:pt idx="4">
                  <c:v>4.8240716543200008</c:v>
                </c:pt>
                <c:pt idx="5">
                  <c:v>5.0392647077600001</c:v>
                </c:pt>
                <c:pt idx="6">
                  <c:v>5.2544577612000003</c:v>
                </c:pt>
                <c:pt idx="7">
                  <c:v>5.4696508146400005</c:v>
                </c:pt>
                <c:pt idx="8">
                  <c:v>5.6848438680799998</c:v>
                </c:pt>
                <c:pt idx="9">
                  <c:v>5.9000369215199999</c:v>
                </c:pt>
                <c:pt idx="10">
                  <c:v>6.1152299749600001</c:v>
                </c:pt>
                <c:pt idx="11">
                  <c:v>6.3304230284000003</c:v>
                </c:pt>
                <c:pt idx="12">
                  <c:v>6.5456160818400004</c:v>
                </c:pt>
                <c:pt idx="13">
                  <c:v>6.7608091352800006</c:v>
                </c:pt>
                <c:pt idx="14">
                  <c:v>6.9760021887199999</c:v>
                </c:pt>
                <c:pt idx="15">
                  <c:v>7.1911952421599992</c:v>
                </c:pt>
                <c:pt idx="16">
                  <c:v>7.4063882955999993</c:v>
                </c:pt>
                <c:pt idx="17">
                  <c:v>7.6215813490399995</c:v>
                </c:pt>
                <c:pt idx="18">
                  <c:v>7.8367744024799997</c:v>
                </c:pt>
                <c:pt idx="19">
                  <c:v>8.0519674559199998</c:v>
                </c:pt>
                <c:pt idx="20">
                  <c:v>8.26716050936</c:v>
                </c:pt>
                <c:pt idx="21">
                  <c:v>8.4823535628000002</c:v>
                </c:pt>
                <c:pt idx="22">
                  <c:v>8.6975466162399986</c:v>
                </c:pt>
                <c:pt idx="23">
                  <c:v>8.9127396696799988</c:v>
                </c:pt>
                <c:pt idx="24">
                  <c:v>9.1279327231199989</c:v>
                </c:pt>
                <c:pt idx="25">
                  <c:v>9.3431257765599991</c:v>
                </c:pt>
                <c:pt idx="26">
                  <c:v>9.5583188299999993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EE-4D4A-86DE-BA2BC9EF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861488"/>
        <c:axId val="758859088"/>
      </c:lineChart>
      <c:catAx>
        <c:axId val="7588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59088"/>
        <c:crosses val="autoZero"/>
        <c:auto val="1"/>
        <c:lblAlgn val="ctr"/>
        <c:lblOffset val="100"/>
        <c:tickMarkSkip val="4"/>
        <c:noMultiLvlLbl val="0"/>
      </c:catAx>
      <c:valAx>
        <c:axId val="7588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10</xdr:row>
      <xdr:rowOff>53975</xdr:rowOff>
    </xdr:from>
    <xdr:to>
      <xdr:col>6</xdr:col>
      <xdr:colOff>215900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0237D-AED8-438C-96A8-15F0FDDF1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45529</xdr:rowOff>
    </xdr:from>
    <xdr:to>
      <xdr:col>13</xdr:col>
      <xdr:colOff>209651</xdr:colOff>
      <xdr:row>38</xdr:row>
      <xdr:rowOff>57727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8B513-1ECC-89AD-6505-C8445137E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77785</xdr:colOff>
      <xdr:row>8</xdr:row>
      <xdr:rowOff>150811</xdr:rowOff>
    </xdr:from>
    <xdr:to>
      <xdr:col>10</xdr:col>
      <xdr:colOff>485774</xdr:colOff>
      <xdr:row>35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B12DA-4D35-42CE-8691-917521C32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542510</xdr:colOff>
      <xdr:row>9</xdr:row>
      <xdr:rowOff>47901</xdr:rowOff>
    </xdr:from>
    <xdr:to>
      <xdr:col>14</xdr:col>
      <xdr:colOff>496955</xdr:colOff>
      <xdr:row>30</xdr:row>
      <xdr:rowOff>84758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FC71D-DB79-46B1-9FF4-6F844F6D2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9</xdr:row>
      <xdr:rowOff>120650</xdr:rowOff>
    </xdr:from>
    <xdr:to>
      <xdr:col>19</xdr:col>
      <xdr:colOff>523875</xdr:colOff>
      <xdr:row>40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4CA639-75A1-EA50-298F-495BA551E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9AC9-29F6-4EE0-B935-8454865BB694}">
  <dimension ref="A1:Q8"/>
  <sheetViews>
    <sheetView workbookViewId="0">
      <selection activeCell="C8" sqref="C8"/>
    </sheetView>
  </sheetViews>
  <sheetFormatPr defaultRowHeight="14.5" x14ac:dyDescent="0.35"/>
  <cols>
    <col min="2" max="2" width="18.81640625" bestFit="1" customWidth="1"/>
    <col min="3" max="3" width="18.08984375" bestFit="1" customWidth="1"/>
    <col min="4" max="4" width="18.90625" bestFit="1" customWidth="1"/>
    <col min="5" max="5" width="18.26953125" bestFit="1" customWidth="1"/>
    <col min="6" max="6" width="19.453125" bestFit="1" customWidth="1"/>
    <col min="7" max="7" width="22.90625" bestFit="1" customWidth="1"/>
    <col min="8" max="8" width="24.08984375" bestFit="1" customWidth="1"/>
  </cols>
  <sheetData>
    <row r="1" spans="1:17" x14ac:dyDescent="0.35">
      <c r="B1" s="5" t="s">
        <v>24</v>
      </c>
      <c r="C1" s="5" t="s">
        <v>37</v>
      </c>
      <c r="D1" s="5" t="s">
        <v>10</v>
      </c>
      <c r="E1" s="5" t="s">
        <v>39</v>
      </c>
      <c r="F1" s="5" t="s">
        <v>40</v>
      </c>
      <c r="G1" s="5" t="s">
        <v>45</v>
      </c>
      <c r="H1" s="5" t="s">
        <v>46</v>
      </c>
    </row>
    <row r="2" spans="1:17" x14ac:dyDescent="0.35">
      <c r="A2" t="s">
        <v>0</v>
      </c>
      <c r="B2" s="14">
        <v>0.125986411038881</v>
      </c>
      <c r="C2" s="14">
        <v>0.14339710751571799</v>
      </c>
      <c r="D2" s="14">
        <v>0.181772070738317</v>
      </c>
      <c r="E2" s="14">
        <v>0.25655047762217598</v>
      </c>
      <c r="F2" s="14">
        <v>0.26017176442225198</v>
      </c>
      <c r="G2" s="14">
        <v>0.26221393635352203</v>
      </c>
      <c r="H2" s="14">
        <v>0.26867700696937097</v>
      </c>
      <c r="K2" s="15"/>
      <c r="L2" s="15"/>
      <c r="M2" s="15"/>
      <c r="N2" s="15"/>
      <c r="O2" s="15"/>
      <c r="P2" s="15"/>
      <c r="Q2" s="15"/>
    </row>
    <row r="3" spans="1:17" x14ac:dyDescent="0.35">
      <c r="A3" t="s">
        <v>1</v>
      </c>
      <c r="B3" s="14">
        <v>0.310631137829042</v>
      </c>
      <c r="C3" s="14">
        <v>0.307970978144056</v>
      </c>
      <c r="D3" s="14">
        <v>0.34399693409066101</v>
      </c>
      <c r="E3" s="14">
        <v>0.32560328967860103</v>
      </c>
      <c r="F3" s="14">
        <v>0.33217104630567496</v>
      </c>
      <c r="G3" s="14">
        <v>0.32484094936966501</v>
      </c>
      <c r="H3" s="14">
        <v>0.33028329264239603</v>
      </c>
      <c r="K3" s="15"/>
      <c r="L3" s="15"/>
      <c r="M3" s="15"/>
      <c r="N3" s="15"/>
      <c r="O3" s="15"/>
      <c r="P3" s="15"/>
      <c r="Q3" s="15"/>
    </row>
    <row r="4" spans="1:17" x14ac:dyDescent="0.35">
      <c r="A4" t="s">
        <v>3</v>
      </c>
      <c r="B4" s="14">
        <v>0.32786148151544903</v>
      </c>
      <c r="C4" s="14">
        <v>0.318990005713777</v>
      </c>
      <c r="D4" s="14">
        <v>0.28252143091088999</v>
      </c>
      <c r="E4" s="14">
        <v>0.25309773253608603</v>
      </c>
      <c r="F4" s="14">
        <v>0.25755079440726703</v>
      </c>
      <c r="G4" s="14">
        <v>0.25034464076632801</v>
      </c>
      <c r="H4" s="14">
        <v>0.25296666724581596</v>
      </c>
      <c r="K4" s="15"/>
      <c r="L4" s="15"/>
      <c r="M4" s="15"/>
      <c r="N4" s="15"/>
      <c r="O4" s="15"/>
      <c r="P4" s="15"/>
      <c r="Q4" s="15"/>
    </row>
    <row r="5" spans="1:17" x14ac:dyDescent="0.35">
      <c r="A5" t="s">
        <v>2</v>
      </c>
      <c r="B5" s="14">
        <v>0.235520969616626</v>
      </c>
      <c r="C5" s="14">
        <v>0.22964190862644598</v>
      </c>
      <c r="D5" s="14">
        <v>0.19170956426013</v>
      </c>
      <c r="E5" s="14">
        <v>0.164748500163134</v>
      </c>
      <c r="F5" s="14">
        <v>0.15010639486480501</v>
      </c>
      <c r="G5" s="14">
        <v>0.16260047351048301</v>
      </c>
      <c r="H5" s="14">
        <v>0.14807303314241499</v>
      </c>
      <c r="K5" s="15"/>
      <c r="L5" s="15"/>
      <c r="M5" s="15"/>
      <c r="N5" s="15"/>
      <c r="O5" s="15"/>
      <c r="P5" s="15"/>
      <c r="Q5" s="15"/>
    </row>
    <row r="6" spans="1:17" x14ac:dyDescent="0.35">
      <c r="A6" t="s">
        <v>17</v>
      </c>
      <c r="B6" s="14">
        <v>0.43661754886792403</v>
      </c>
      <c r="C6" s="14">
        <v>0.45136808565977504</v>
      </c>
      <c r="D6" s="14">
        <v>0.52576900482897804</v>
      </c>
      <c r="E6" s="14">
        <v>0.58215376730077795</v>
      </c>
      <c r="F6" s="14">
        <v>0.59234281072792694</v>
      </c>
      <c r="G6" s="14">
        <v>0.58705488572318798</v>
      </c>
      <c r="H6" s="14">
        <v>0.598960299611768</v>
      </c>
      <c r="K6" s="15"/>
      <c r="L6" s="15"/>
      <c r="M6" s="15"/>
      <c r="N6" s="15"/>
      <c r="O6" s="15"/>
      <c r="P6" s="15"/>
      <c r="Q6" s="15"/>
    </row>
    <row r="7" spans="1:17" x14ac:dyDescent="0.35">
      <c r="C7" s="3">
        <f>C6-$B$6</f>
        <v>1.475053679185101E-2</v>
      </c>
      <c r="D7" s="3">
        <f>D6-$B$6</f>
        <v>8.9151455961054005E-2</v>
      </c>
      <c r="E7" s="3">
        <f>E6-$B$6</f>
        <v>0.14553621843285391</v>
      </c>
      <c r="G7" s="3">
        <f>G6-$D$6</f>
        <v>6.1285880894209943E-2</v>
      </c>
    </row>
    <row r="8" spans="1:17" x14ac:dyDescent="0.35">
      <c r="C8" s="3"/>
      <c r="E8" s="3">
        <f>D5-E5</f>
        <v>2.6961064096996001E-2</v>
      </c>
      <c r="G8" s="3">
        <f>F5-G5</f>
        <v>-1.2494078645678003E-2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D811-1091-4A5C-8661-C6F13FF4FE03}">
  <dimension ref="A1:Y57"/>
  <sheetViews>
    <sheetView zoomScale="66" workbookViewId="0">
      <selection activeCell="P35" sqref="P35"/>
    </sheetView>
  </sheetViews>
  <sheetFormatPr defaultRowHeight="14.5" x14ac:dyDescent="0.35"/>
  <cols>
    <col min="1" max="1" width="28.90625" bestFit="1" customWidth="1"/>
    <col min="2" max="13" width="10.81640625" customWidth="1"/>
    <col min="14" max="14" width="14" bestFit="1" customWidth="1"/>
    <col min="15" max="25" width="10.81640625" customWidth="1"/>
  </cols>
  <sheetData>
    <row r="1" spans="1:25" x14ac:dyDescent="0.35">
      <c r="B1" s="5" t="s">
        <v>24</v>
      </c>
      <c r="C1" t="s">
        <v>9</v>
      </c>
      <c r="D1" s="5" t="s">
        <v>37</v>
      </c>
      <c r="E1" t="s">
        <v>38</v>
      </c>
      <c r="F1" t="s">
        <v>43</v>
      </c>
      <c r="G1" t="s">
        <v>44</v>
      </c>
      <c r="H1" t="s">
        <v>31</v>
      </c>
      <c r="I1" t="s">
        <v>32</v>
      </c>
      <c r="J1" t="s">
        <v>6</v>
      </c>
      <c r="K1" t="s">
        <v>7</v>
      </c>
      <c r="L1" t="s">
        <v>35</v>
      </c>
      <c r="M1" t="s">
        <v>36</v>
      </c>
      <c r="N1" t="s">
        <v>41</v>
      </c>
      <c r="O1" t="s">
        <v>42</v>
      </c>
      <c r="P1" t="s">
        <v>29</v>
      </c>
      <c r="Q1" t="s">
        <v>30</v>
      </c>
      <c r="R1" s="5" t="s">
        <v>10</v>
      </c>
      <c r="S1" t="s">
        <v>11</v>
      </c>
      <c r="T1" s="5" t="s">
        <v>39</v>
      </c>
      <c r="U1" s="5" t="s">
        <v>40</v>
      </c>
      <c r="V1" s="5" t="s">
        <v>45</v>
      </c>
      <c r="W1" s="5" t="s">
        <v>46</v>
      </c>
      <c r="X1" t="s">
        <v>33</v>
      </c>
      <c r="Y1" t="s">
        <v>34</v>
      </c>
    </row>
    <row r="2" spans="1:25" x14ac:dyDescent="0.35">
      <c r="A2" t="s">
        <v>0</v>
      </c>
      <c r="B2" s="6">
        <v>0.125986411038881</v>
      </c>
      <c r="C2" s="2">
        <v>0.13318101582115099</v>
      </c>
      <c r="D2" s="6">
        <v>0.14339710751571799</v>
      </c>
      <c r="E2" s="2">
        <v>0.150596289139067</v>
      </c>
      <c r="F2" s="2">
        <v>0.144808050747158</v>
      </c>
      <c r="G2" s="2">
        <v>0.152357697719369</v>
      </c>
      <c r="H2" s="2">
        <v>0.145772314787534</v>
      </c>
      <c r="I2" s="2">
        <v>0.15359374970759401</v>
      </c>
      <c r="J2" s="4">
        <v>0.17882084591921402</v>
      </c>
      <c r="K2" s="2">
        <v>0.18373470170408598</v>
      </c>
      <c r="L2" s="4">
        <v>0.24498355874181199</v>
      </c>
      <c r="M2" s="4">
        <v>0.24839402023322202</v>
      </c>
      <c r="N2" s="4">
        <v>0.24969419236537799</v>
      </c>
      <c r="O2" s="4">
        <v>0.25333130393296899</v>
      </c>
      <c r="P2" s="4">
        <v>0.25445429968934502</v>
      </c>
      <c r="Q2" s="4">
        <v>0.25877178562468101</v>
      </c>
      <c r="R2" s="6">
        <v>0.181772070738317</v>
      </c>
      <c r="S2" s="2">
        <v>0.18746278027399099</v>
      </c>
      <c r="T2" s="6">
        <v>0.25655047762217598</v>
      </c>
      <c r="U2" s="6">
        <v>0.26017176442225198</v>
      </c>
      <c r="V2" s="6">
        <v>0.26221393635352203</v>
      </c>
      <c r="W2" s="6">
        <v>0.26867700696937097</v>
      </c>
      <c r="X2" s="2">
        <v>0.27186551799661002</v>
      </c>
      <c r="Y2" s="2">
        <v>0.27476220978440602</v>
      </c>
    </row>
    <row r="3" spans="1:25" x14ac:dyDescent="0.35">
      <c r="A3" t="s">
        <v>1</v>
      </c>
      <c r="B3" s="6">
        <v>0.310631137829042</v>
      </c>
      <c r="C3" s="2">
        <v>0.321518039831447</v>
      </c>
      <c r="D3" s="6">
        <v>0.307970978144056</v>
      </c>
      <c r="E3" s="2">
        <v>0.31696198740092202</v>
      </c>
      <c r="F3" s="2">
        <v>0.30759851902668001</v>
      </c>
      <c r="G3" s="2">
        <v>0.31686066698211801</v>
      </c>
      <c r="H3" s="2">
        <v>0.30698868787276701</v>
      </c>
      <c r="I3" s="2">
        <v>0.31629005247389197</v>
      </c>
      <c r="J3" s="4">
        <v>0.338111247830025</v>
      </c>
      <c r="K3" s="2">
        <v>0.344905730706623</v>
      </c>
      <c r="L3" s="4">
        <v>0.32359283228845198</v>
      </c>
      <c r="M3" s="4">
        <v>0.33078687483703706</v>
      </c>
      <c r="N3" s="4">
        <v>0.32285336024477201</v>
      </c>
      <c r="O3" s="4">
        <v>0.32867469987660303</v>
      </c>
      <c r="P3" s="4">
        <v>0.32166512156138</v>
      </c>
      <c r="Q3" s="4">
        <v>0.32834378787811802</v>
      </c>
      <c r="R3" s="6">
        <v>0.34399693409066101</v>
      </c>
      <c r="S3" s="2">
        <v>0.35082065675735896</v>
      </c>
      <c r="T3" s="6">
        <v>0.32560328967860103</v>
      </c>
      <c r="U3" s="6">
        <v>0.33217104630567496</v>
      </c>
      <c r="V3" s="6">
        <v>0.32484094936966501</v>
      </c>
      <c r="W3" s="6">
        <v>0.33028329264239603</v>
      </c>
      <c r="X3" s="2">
        <v>0.32367003660681803</v>
      </c>
      <c r="Y3" s="2">
        <v>0.33075700383654399</v>
      </c>
    </row>
    <row r="4" spans="1:25" x14ac:dyDescent="0.35">
      <c r="A4" t="s">
        <v>3</v>
      </c>
      <c r="B4" s="6">
        <v>0.32786148151544903</v>
      </c>
      <c r="C4" s="2">
        <v>0.33349260130560998</v>
      </c>
      <c r="D4" s="6">
        <v>0.318990005713777</v>
      </c>
      <c r="E4" s="2">
        <v>0.32543362826914196</v>
      </c>
      <c r="F4" s="2">
        <v>0.31830660302175401</v>
      </c>
      <c r="G4" s="2">
        <v>0.32466601420574798</v>
      </c>
      <c r="H4" s="2">
        <v>0.318539406291592</v>
      </c>
      <c r="I4" s="2">
        <v>0.32391616190883904</v>
      </c>
      <c r="J4" s="4">
        <v>0.28827749185755197</v>
      </c>
      <c r="K4" s="2">
        <v>0.29286273656598</v>
      </c>
      <c r="L4" s="4">
        <v>0.26249178781155796</v>
      </c>
      <c r="M4" s="4">
        <v>0.26549395218920202</v>
      </c>
      <c r="N4" s="4">
        <v>0.25983067939130999</v>
      </c>
      <c r="O4" s="4">
        <v>0.26410941008748601</v>
      </c>
      <c r="P4" s="4">
        <v>0.25776469469080199</v>
      </c>
      <c r="Q4" s="4">
        <v>0.26087355379915</v>
      </c>
      <c r="R4" s="6">
        <v>0.28252143091088999</v>
      </c>
      <c r="S4" s="2">
        <v>0.28701426911455202</v>
      </c>
      <c r="T4" s="6">
        <v>0.25309773253608603</v>
      </c>
      <c r="U4" s="6">
        <v>0.25755079440726703</v>
      </c>
      <c r="V4" s="6">
        <v>0.25034464076632801</v>
      </c>
      <c r="W4" s="6">
        <v>0.25296666724581596</v>
      </c>
      <c r="X4" s="2">
        <v>0.24698481460581601</v>
      </c>
      <c r="Y4" s="2">
        <v>0.25015633869328502</v>
      </c>
    </row>
    <row r="5" spans="1:25" x14ac:dyDescent="0.35">
      <c r="A5" t="s">
        <v>2</v>
      </c>
      <c r="B5" s="6">
        <v>0.235520969616626</v>
      </c>
      <c r="C5" s="2">
        <v>0.21180834304179</v>
      </c>
      <c r="D5" s="6">
        <v>0.22964190862644598</v>
      </c>
      <c r="E5" s="2">
        <v>0.20700809519086699</v>
      </c>
      <c r="F5" s="2">
        <v>0.22928682720440602</v>
      </c>
      <c r="G5" s="2">
        <v>0.20611562109276299</v>
      </c>
      <c r="H5" s="2">
        <v>0.228699591048106</v>
      </c>
      <c r="I5" s="2">
        <v>0.20620003590967301</v>
      </c>
      <c r="J5" s="4">
        <v>0.19479041439320599</v>
      </c>
      <c r="K5" s="2">
        <v>0.17849683102330899</v>
      </c>
      <c r="L5" s="4">
        <v>0.16893182115817598</v>
      </c>
      <c r="M5" s="4">
        <v>0.15532515274053599</v>
      </c>
      <c r="N5" s="4">
        <v>0.16762176799853801</v>
      </c>
      <c r="O5" s="4">
        <v>0.15388458610294001</v>
      </c>
      <c r="P5" s="4">
        <v>0.166115884058471</v>
      </c>
      <c r="Q5" s="4">
        <v>0.152010872698049</v>
      </c>
      <c r="R5" s="6">
        <v>0.19170956426013</v>
      </c>
      <c r="S5" s="2">
        <v>0.174702293854096</v>
      </c>
      <c r="T5" s="6">
        <v>0.164748500163134</v>
      </c>
      <c r="U5" s="6">
        <v>0.15010639486480501</v>
      </c>
      <c r="V5" s="6">
        <v>0.16260047351048301</v>
      </c>
      <c r="W5" s="6">
        <v>0.14807303314241499</v>
      </c>
      <c r="X5" s="2">
        <v>0.157479630790754</v>
      </c>
      <c r="Y5" s="2">
        <v>0.144324447685763</v>
      </c>
    </row>
    <row r="6" spans="1:25" x14ac:dyDescent="0.35">
      <c r="A6" t="s">
        <v>17</v>
      </c>
      <c r="B6" s="6">
        <v>0.43661754886792403</v>
      </c>
      <c r="C6" s="2">
        <v>0.45469905565259899</v>
      </c>
      <c r="D6" s="6">
        <v>0.45136808565977504</v>
      </c>
      <c r="E6" s="2">
        <v>0.46755827653998999</v>
      </c>
      <c r="F6" s="2">
        <v>0.45240656977383797</v>
      </c>
      <c r="G6" s="2">
        <v>0.46921836470148798</v>
      </c>
      <c r="H6" s="2">
        <v>0.452761002660302</v>
      </c>
      <c r="I6" s="2">
        <v>0.46988380218148601</v>
      </c>
      <c r="J6" s="4">
        <v>0.51693209374923998</v>
      </c>
      <c r="K6" s="2">
        <v>0.52864043241071001</v>
      </c>
      <c r="L6" s="4">
        <v>0.56857639103026403</v>
      </c>
      <c r="M6" s="4">
        <v>0.57918089507025994</v>
      </c>
      <c r="N6" s="4">
        <v>0.572547552610151</v>
      </c>
      <c r="O6" s="4">
        <v>0.58200600380957201</v>
      </c>
      <c r="P6" s="4">
        <v>0.57611942125072502</v>
      </c>
      <c r="Q6" s="4">
        <v>0.58711557350279897</v>
      </c>
      <c r="R6" s="6">
        <v>0.52576900482897804</v>
      </c>
      <c r="S6" s="2">
        <v>0.53828343703134995</v>
      </c>
      <c r="T6" s="6">
        <v>0.58215376730077795</v>
      </c>
      <c r="U6" s="6">
        <v>0.59234281072792694</v>
      </c>
      <c r="V6" s="6">
        <v>0.58705488572318798</v>
      </c>
      <c r="W6" s="6">
        <v>0.598960299611768</v>
      </c>
      <c r="X6" s="2">
        <v>0.595535554603429</v>
      </c>
      <c r="Y6" s="2">
        <v>0.60551921362094996</v>
      </c>
    </row>
    <row r="7" spans="1:25" x14ac:dyDescent="0.35">
      <c r="A7" t="s">
        <v>18</v>
      </c>
      <c r="C7" s="3">
        <f>C5-B5</f>
        <v>-2.3712626574835999E-2</v>
      </c>
      <c r="E7" s="3">
        <f>E5-D5</f>
        <v>-2.2633813435578992E-2</v>
      </c>
      <c r="G7" s="3">
        <f>G5-F5</f>
        <v>-2.3171206111643028E-2</v>
      </c>
      <c r="I7" s="3">
        <f>I5-H5</f>
        <v>-2.2499555138432992E-2</v>
      </c>
      <c r="K7" s="3">
        <f>K5-J5</f>
        <v>-1.6293583369897002E-2</v>
      </c>
      <c r="M7" s="3">
        <f>M5-L5</f>
        <v>-1.3606668417639994E-2</v>
      </c>
      <c r="O7" s="3">
        <f>O5-N5</f>
        <v>-1.3737181895598E-2</v>
      </c>
      <c r="Q7" s="3">
        <f>Q5-P5</f>
        <v>-1.4105011360421998E-2</v>
      </c>
      <c r="S7" s="3">
        <f>S5-R5</f>
        <v>-1.7007270406034003E-2</v>
      </c>
      <c r="U7" s="3">
        <f>U5-T5</f>
        <v>-1.4642105298328989E-2</v>
      </c>
      <c r="W7" s="3">
        <f>W5-V5</f>
        <v>-1.4527440368068023E-2</v>
      </c>
      <c r="Y7" s="3">
        <f>Y5-X5</f>
        <v>-1.3155183104991003E-2</v>
      </c>
    </row>
    <row r="8" spans="1:25" x14ac:dyDescent="0.35">
      <c r="A8" t="s">
        <v>19</v>
      </c>
      <c r="C8" s="3">
        <f>C6-B6</f>
        <v>1.8081506784674961E-2</v>
      </c>
      <c r="E8" s="3">
        <f>E6-D6</f>
        <v>1.619019088021495E-2</v>
      </c>
      <c r="G8" s="3">
        <f>G6-F6</f>
        <v>1.6811794927650003E-2</v>
      </c>
      <c r="I8" s="3">
        <f>I6-H6</f>
        <v>1.7122799521184007E-2</v>
      </c>
      <c r="K8" s="3">
        <f>K6-J6</f>
        <v>1.170833866147003E-2</v>
      </c>
      <c r="M8" s="3">
        <f>M6-L6</f>
        <v>1.060450403999591E-2</v>
      </c>
      <c r="O8" s="3">
        <f>O6-N6</f>
        <v>9.4584511994210141E-3</v>
      </c>
      <c r="Q8" s="3">
        <f>Q6-P6</f>
        <v>1.0996152252073954E-2</v>
      </c>
      <c r="R8" s="2"/>
      <c r="S8" s="3">
        <f>S6-R6</f>
        <v>1.2514432202371917E-2</v>
      </c>
      <c r="T8" s="2"/>
      <c r="U8" s="3">
        <f>U6-T6</f>
        <v>1.0189043427148992E-2</v>
      </c>
      <c r="V8" s="2"/>
      <c r="W8" s="3">
        <f>W6-V6</f>
        <v>1.1905413888580019E-2</v>
      </c>
      <c r="X8" s="2"/>
      <c r="Y8" s="3">
        <f>Y6-X6</f>
        <v>9.9836590175209627E-3</v>
      </c>
    </row>
    <row r="9" spans="1:25" x14ac:dyDescent="0.35">
      <c r="R9" s="2"/>
      <c r="S9" s="2"/>
      <c r="T9" s="2"/>
      <c r="U9" s="2"/>
      <c r="V9" s="2"/>
      <c r="W9" s="2"/>
      <c r="X9" s="2"/>
      <c r="Y9" s="2"/>
    </row>
    <row r="10" spans="1:25" x14ac:dyDescent="0.35">
      <c r="A10" s="1"/>
      <c r="B10" s="2"/>
      <c r="C10" s="2"/>
    </row>
    <row r="11" spans="1:25" x14ac:dyDescent="0.35">
      <c r="A11" s="1"/>
      <c r="B11" s="2"/>
      <c r="C11" s="2"/>
    </row>
    <row r="12" spans="1:25" x14ac:dyDescent="0.35">
      <c r="A12" s="1"/>
      <c r="B12" s="2"/>
      <c r="C12" s="2"/>
    </row>
    <row r="13" spans="1:25" x14ac:dyDescent="0.35">
      <c r="A13" s="1"/>
      <c r="B13" s="2"/>
      <c r="C13" s="2"/>
    </row>
    <row r="14" spans="1:25" x14ac:dyDescent="0.35">
      <c r="A14" s="1"/>
      <c r="B14" s="2"/>
      <c r="C14" s="2"/>
    </row>
    <row r="15" spans="1:25" x14ac:dyDescent="0.35">
      <c r="A15" s="1"/>
      <c r="B15" s="2"/>
      <c r="C15" s="2"/>
    </row>
    <row r="16" spans="1:25" x14ac:dyDescent="0.35">
      <c r="A16" s="1"/>
      <c r="B16" s="2"/>
      <c r="C16" s="2"/>
    </row>
    <row r="17" spans="1:14" x14ac:dyDescent="0.35">
      <c r="A17" s="1"/>
      <c r="B17" s="2"/>
      <c r="C17" s="2"/>
    </row>
    <row r="18" spans="1:14" x14ac:dyDescent="0.35">
      <c r="A18" s="1"/>
      <c r="B18" s="2"/>
      <c r="C18" s="2"/>
    </row>
    <row r="19" spans="1:14" x14ac:dyDescent="0.35">
      <c r="A19" s="1"/>
      <c r="B19" s="2"/>
      <c r="C19" s="2"/>
    </row>
    <row r="20" spans="1:14" x14ac:dyDescent="0.35">
      <c r="A20" s="1"/>
      <c r="B20" s="2"/>
      <c r="C20" s="2"/>
    </row>
    <row r="21" spans="1:14" x14ac:dyDescent="0.35">
      <c r="A21" s="1"/>
      <c r="B21" s="2"/>
      <c r="C21" s="2"/>
    </row>
    <row r="24" spans="1:14" x14ac:dyDescent="0.35">
      <c r="K24" s="2"/>
      <c r="L24" s="2"/>
      <c r="M24" s="2"/>
      <c r="N24" s="2"/>
    </row>
    <row r="25" spans="1:14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4" spans="2:6" x14ac:dyDescent="0.35">
      <c r="B34" s="2"/>
      <c r="C34" s="2"/>
      <c r="D34" s="2"/>
      <c r="E34" s="2"/>
      <c r="F34" s="2"/>
    </row>
    <row r="35" spans="2:6" x14ac:dyDescent="0.35">
      <c r="B35" s="2"/>
      <c r="C35" s="2"/>
      <c r="D35" s="2"/>
      <c r="E35" s="2"/>
      <c r="F35" s="2"/>
    </row>
    <row r="36" spans="2:6" x14ac:dyDescent="0.35">
      <c r="B36" s="2"/>
      <c r="C36" s="2"/>
      <c r="D36" s="2"/>
      <c r="E36" s="2"/>
      <c r="F36" s="2"/>
    </row>
    <row r="37" spans="2:6" x14ac:dyDescent="0.35">
      <c r="B37" s="2"/>
      <c r="C37" s="2"/>
      <c r="D37" s="2"/>
      <c r="E37" s="2"/>
      <c r="F37" s="2"/>
    </row>
    <row r="38" spans="2:6" x14ac:dyDescent="0.35">
      <c r="B38" s="2"/>
      <c r="C38" s="2"/>
      <c r="D38" s="2"/>
      <c r="E38" s="2"/>
      <c r="F38" s="2"/>
    </row>
    <row r="39" spans="2:6" x14ac:dyDescent="0.35">
      <c r="B39" s="2"/>
      <c r="C39" s="2"/>
      <c r="D39" s="2"/>
      <c r="E39" s="2"/>
      <c r="F39" s="2"/>
    </row>
    <row r="40" spans="2:6" x14ac:dyDescent="0.35">
      <c r="B40" s="2"/>
      <c r="C40" s="2"/>
      <c r="D40" s="2"/>
      <c r="E40" s="2"/>
      <c r="F40" s="2"/>
    </row>
    <row r="41" spans="2:6" x14ac:dyDescent="0.35">
      <c r="B41" s="2"/>
      <c r="C41" s="2"/>
      <c r="D41" s="2"/>
      <c r="E41" s="2"/>
      <c r="F41" s="2"/>
    </row>
    <row r="42" spans="2:6" x14ac:dyDescent="0.35">
      <c r="B42" s="2"/>
      <c r="C42" s="2"/>
      <c r="D42" s="2"/>
      <c r="E42" s="2"/>
      <c r="F42" s="2"/>
    </row>
    <row r="43" spans="2:6" x14ac:dyDescent="0.35">
      <c r="B43" s="2"/>
      <c r="C43" s="2"/>
      <c r="D43" s="2"/>
      <c r="E43" s="2"/>
      <c r="F43" s="2"/>
    </row>
    <row r="44" spans="2:6" x14ac:dyDescent="0.35">
      <c r="B44" s="2"/>
      <c r="C44" s="2"/>
      <c r="D44" s="2"/>
      <c r="E44" s="2"/>
      <c r="F44" s="2"/>
    </row>
    <row r="45" spans="2:6" x14ac:dyDescent="0.35">
      <c r="B45" s="2"/>
      <c r="C45" s="2"/>
      <c r="D45" s="2"/>
      <c r="E45" s="2"/>
      <c r="F45" s="2"/>
    </row>
    <row r="46" spans="2:6" x14ac:dyDescent="0.35">
      <c r="B46" s="2"/>
      <c r="C46" s="2"/>
      <c r="D46" s="2"/>
      <c r="E46" s="2"/>
      <c r="F46" s="2"/>
    </row>
    <row r="47" spans="2:6" x14ac:dyDescent="0.35">
      <c r="B47" s="2"/>
      <c r="C47" s="2"/>
      <c r="D47" s="2"/>
      <c r="E47" s="2"/>
      <c r="F47" s="2"/>
    </row>
    <row r="48" spans="2:6" x14ac:dyDescent="0.35">
      <c r="B48" s="2"/>
      <c r="C48" s="2"/>
      <c r="D48" s="2"/>
      <c r="E48" s="2"/>
      <c r="F48" s="2"/>
    </row>
    <row r="49" spans="2:6" x14ac:dyDescent="0.35">
      <c r="B49" s="2"/>
      <c r="C49" s="2"/>
      <c r="D49" s="2"/>
      <c r="E49" s="2"/>
      <c r="F49" s="2"/>
    </row>
    <row r="50" spans="2:6" x14ac:dyDescent="0.35">
      <c r="B50" s="2"/>
      <c r="C50" s="2"/>
      <c r="D50" s="2"/>
      <c r="E50" s="2"/>
      <c r="F50" s="2"/>
    </row>
    <row r="51" spans="2:6" x14ac:dyDescent="0.35">
      <c r="B51" s="2"/>
      <c r="C51" s="2"/>
      <c r="D51" s="2"/>
      <c r="E51" s="2"/>
      <c r="F51" s="2"/>
    </row>
    <row r="52" spans="2:6" x14ac:dyDescent="0.35">
      <c r="B52" s="2"/>
      <c r="C52" s="2"/>
      <c r="D52" s="2"/>
      <c r="E52" s="2"/>
      <c r="F52" s="2"/>
    </row>
    <row r="53" spans="2:6" x14ac:dyDescent="0.35">
      <c r="B53" s="2"/>
      <c r="C53" s="2"/>
      <c r="D53" s="2"/>
      <c r="E53" s="2"/>
      <c r="F53" s="2"/>
    </row>
    <row r="54" spans="2:6" x14ac:dyDescent="0.35">
      <c r="B54" s="2"/>
      <c r="C54" s="2"/>
      <c r="D54" s="2"/>
      <c r="E54" s="2"/>
      <c r="F54" s="2"/>
    </row>
    <row r="55" spans="2:6" x14ac:dyDescent="0.35">
      <c r="B55" s="2"/>
      <c r="C55" s="2"/>
      <c r="D55" s="2"/>
      <c r="E55" s="2"/>
      <c r="F55" s="2"/>
    </row>
    <row r="56" spans="2:6" x14ac:dyDescent="0.35">
      <c r="B56" s="2"/>
      <c r="C56" s="2"/>
      <c r="D56" s="2"/>
      <c r="E56" s="2"/>
      <c r="F56" s="2"/>
    </row>
    <row r="57" spans="2:6" x14ac:dyDescent="0.35">
      <c r="B57" s="2"/>
      <c r="C57" s="2"/>
      <c r="D57" s="2"/>
      <c r="E57" s="2"/>
      <c r="F57" s="2"/>
    </row>
  </sheetData>
  <sortState xmlns:xlrd2="http://schemas.microsoft.com/office/spreadsheetml/2017/richdata2" ref="C43:H58">
    <sortCondition ref="C42:C5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4380-BE05-4363-9A82-3D455808CCEC}">
  <dimension ref="A1:S33"/>
  <sheetViews>
    <sheetView tabSelected="1" zoomScale="65" zoomScaleNormal="115" workbookViewId="0">
      <selection activeCell="T10" sqref="T10"/>
    </sheetView>
  </sheetViews>
  <sheetFormatPr defaultRowHeight="14.5" x14ac:dyDescent="0.35"/>
  <cols>
    <col min="1" max="1" width="28.6328125" bestFit="1" customWidth="1"/>
  </cols>
  <sheetData>
    <row r="1" spans="1:19" x14ac:dyDescent="0.35"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S1" t="s">
        <v>23</v>
      </c>
    </row>
    <row r="2" spans="1:19" x14ac:dyDescent="0.35">
      <c r="A2" s="1" t="s">
        <v>8</v>
      </c>
      <c r="B2" s="2">
        <v>0.41190383306608302</v>
      </c>
      <c r="C2" s="2">
        <v>0.415026935012203</v>
      </c>
      <c r="D2" s="2">
        <v>0.41759616600825</v>
      </c>
      <c r="E2" s="2">
        <v>0.41941957042446898</v>
      </c>
      <c r="F2" s="2">
        <v>0.42143062467467302</v>
      </c>
      <c r="G2" s="2">
        <v>0.42335137401471301</v>
      </c>
      <c r="H2" s="2">
        <v>0.42568918505087699</v>
      </c>
      <c r="I2" s="2">
        <v>0.42728144960061798</v>
      </c>
      <c r="J2" s="2">
        <v>0.42874443034380399</v>
      </c>
      <c r="K2" s="2">
        <v>0.43034215142075199</v>
      </c>
      <c r="L2" s="2">
        <v>0.43152845709172299</v>
      </c>
      <c r="M2" s="2">
        <v>0.43262374327386599</v>
      </c>
      <c r="N2" s="2">
        <v>0.43392872615491801</v>
      </c>
      <c r="O2" s="2">
        <v>0.43492838584153298</v>
      </c>
      <c r="P2" s="2">
        <v>0.43614825535149199</v>
      </c>
      <c r="Q2" s="2">
        <v>0.43661754886792398</v>
      </c>
      <c r="R2" s="1" t="s">
        <v>24</v>
      </c>
      <c r="S2" s="20">
        <v>0</v>
      </c>
    </row>
    <row r="3" spans="1:19" x14ac:dyDescent="0.35">
      <c r="A3" s="1" t="s">
        <v>37</v>
      </c>
      <c r="B3" s="2">
        <v>0.41190383306608302</v>
      </c>
      <c r="C3" s="2">
        <v>0.41583507225444</v>
      </c>
      <c r="D3" s="2">
        <v>0.418828407753431</v>
      </c>
      <c r="E3" s="2">
        <v>0.42192201696777798</v>
      </c>
      <c r="F3" s="2">
        <v>0.42499934342707801</v>
      </c>
      <c r="G3" s="2">
        <v>0.428235576171002</v>
      </c>
      <c r="H3" s="2">
        <v>0.43061991253162601</v>
      </c>
      <c r="I3" s="2">
        <v>0.43320550904398902</v>
      </c>
      <c r="J3" s="2">
        <v>0.43556542902328999</v>
      </c>
      <c r="K3" s="2">
        <v>0.43800035747112098</v>
      </c>
      <c r="L3" s="2">
        <v>0.44051894425916099</v>
      </c>
      <c r="M3" s="2">
        <v>0.44323617810216498</v>
      </c>
      <c r="N3" s="2">
        <v>0.44540434494178799</v>
      </c>
      <c r="O3" s="2">
        <v>0.44760123950300801</v>
      </c>
      <c r="P3" s="2">
        <v>0.44959447868132002</v>
      </c>
      <c r="Q3" s="2">
        <v>0.45136808565977499</v>
      </c>
      <c r="R3" s="1" t="s">
        <v>12</v>
      </c>
      <c r="S3" s="20">
        <v>1.475053679185101E-2</v>
      </c>
    </row>
    <row r="4" spans="1:19" x14ac:dyDescent="0.35">
      <c r="A4" s="1" t="s">
        <v>10</v>
      </c>
      <c r="B4" s="2">
        <v>0.41442862634430599</v>
      </c>
      <c r="C4" s="2">
        <v>0.42056384648655498</v>
      </c>
      <c r="D4" s="2">
        <v>0.42743447156233999</v>
      </c>
      <c r="E4" s="2">
        <v>0.43402148050239697</v>
      </c>
      <c r="F4" s="2">
        <v>0.44151311624668699</v>
      </c>
      <c r="G4" s="2">
        <v>0.44818230168810802</v>
      </c>
      <c r="H4" s="2">
        <v>0.45535298070505598</v>
      </c>
      <c r="I4" s="2">
        <v>0.46325725452744199</v>
      </c>
      <c r="J4" s="2">
        <v>0.47063755986025202</v>
      </c>
      <c r="K4" s="2">
        <v>0.47823762612883097</v>
      </c>
      <c r="L4" s="2">
        <v>0.48721851606779998</v>
      </c>
      <c r="M4" s="2">
        <v>0.49525986982148201</v>
      </c>
      <c r="N4" s="2">
        <v>0.50313928794532203</v>
      </c>
      <c r="O4" s="2">
        <v>0.510728055744052</v>
      </c>
      <c r="P4" s="2">
        <v>0.51768909516162098</v>
      </c>
      <c r="Q4" s="2">
        <v>0.52576900482897804</v>
      </c>
      <c r="R4" s="1" t="s">
        <v>10</v>
      </c>
      <c r="S4" s="20">
        <v>6.7402792794382049E-2</v>
      </c>
    </row>
    <row r="5" spans="1:19" x14ac:dyDescent="0.35">
      <c r="A5" s="1" t="s">
        <v>39</v>
      </c>
      <c r="B5" s="2">
        <v>0.41442862634430599</v>
      </c>
      <c r="C5" s="2">
        <v>0.42113940376411602</v>
      </c>
      <c r="D5" s="2">
        <v>0.42830279755221801</v>
      </c>
      <c r="E5" s="2">
        <v>0.43716175193984402</v>
      </c>
      <c r="F5" s="2">
        <v>0.446931946047183</v>
      </c>
      <c r="G5" s="2">
        <v>0.45729986984348198</v>
      </c>
      <c r="H5" s="2">
        <v>0.467272435613026</v>
      </c>
      <c r="I5" s="2">
        <v>0.47811522526455402</v>
      </c>
      <c r="J5" s="2">
        <v>0.49144363683111603</v>
      </c>
      <c r="K5" s="2">
        <v>0.50409639629134995</v>
      </c>
      <c r="L5" s="2">
        <v>0.516762289683524</v>
      </c>
      <c r="M5" s="2">
        <v>0.52948679271496601</v>
      </c>
      <c r="N5" s="2">
        <v>0.54341922152292599</v>
      </c>
      <c r="O5" s="2">
        <v>0.55613792845741095</v>
      </c>
      <c r="P5" s="2">
        <v>0.56858442864165804</v>
      </c>
      <c r="Q5" s="2">
        <v>0.58215376730077795</v>
      </c>
      <c r="R5" s="1" t="s">
        <v>13</v>
      </c>
      <c r="S5" s="20">
        <v>0.11886327891260101</v>
      </c>
    </row>
    <row r="6" spans="1:19" x14ac:dyDescent="0.35">
      <c r="A6" s="1" t="s">
        <v>40</v>
      </c>
      <c r="B6" s="2">
        <v>0.41442862634430599</v>
      </c>
      <c r="C6" s="2">
        <v>0.42113940376411602</v>
      </c>
      <c r="D6" s="2">
        <v>0.428307791326278</v>
      </c>
      <c r="E6" s="2">
        <v>0.43749380992980103</v>
      </c>
      <c r="F6" s="2">
        <v>0.44777596718789803</v>
      </c>
      <c r="G6" s="2">
        <v>0.45760099985262298</v>
      </c>
      <c r="H6" s="2">
        <v>0.46890332208569901</v>
      </c>
      <c r="I6" s="2">
        <v>0.481320544395345</v>
      </c>
      <c r="J6" s="2">
        <v>0.49350687247497899</v>
      </c>
      <c r="K6" s="2">
        <v>0.51422221734520701</v>
      </c>
      <c r="L6" s="2">
        <v>0.53037693812079201</v>
      </c>
      <c r="M6" s="2">
        <v>0.54266881189051497</v>
      </c>
      <c r="N6" s="2">
        <v>0.55480326120336498</v>
      </c>
      <c r="O6" s="2">
        <v>0.56691307096779997</v>
      </c>
      <c r="P6" s="2">
        <v>0.57849772624231499</v>
      </c>
      <c r="Q6" s="2">
        <v>0.59234281072792705</v>
      </c>
      <c r="R6" s="1" t="s">
        <v>14</v>
      </c>
      <c r="S6" s="20">
        <v>0.13155279891557498</v>
      </c>
    </row>
    <row r="7" spans="1:19" x14ac:dyDescent="0.35">
      <c r="A7" s="1" t="s">
        <v>45</v>
      </c>
      <c r="B7" s="2">
        <v>0.41442862634430599</v>
      </c>
      <c r="C7" s="2">
        <v>0.42113940376411602</v>
      </c>
      <c r="D7" s="2">
        <v>0.42830279755221801</v>
      </c>
      <c r="E7" s="2">
        <v>0.43716175193984402</v>
      </c>
      <c r="F7" s="2">
        <v>0.446931946047183</v>
      </c>
      <c r="G7" s="2">
        <v>0.45729986984348198</v>
      </c>
      <c r="H7" s="2">
        <v>0.46842057905913898</v>
      </c>
      <c r="I7" s="2">
        <v>0.47901968300958297</v>
      </c>
      <c r="J7" s="2">
        <v>0.49352585043105901</v>
      </c>
      <c r="K7" s="2">
        <v>0.50848256437438399</v>
      </c>
      <c r="L7" s="2">
        <v>0.52252570086361205</v>
      </c>
      <c r="M7" s="2">
        <v>0.53675148075853596</v>
      </c>
      <c r="N7" s="2">
        <v>0.54935014486172695</v>
      </c>
      <c r="O7" s="2">
        <v>0.56155142686019499</v>
      </c>
      <c r="P7" s="2">
        <v>0.57345287261114997</v>
      </c>
      <c r="Q7" s="2">
        <v>0.58705488572318798</v>
      </c>
      <c r="R7" s="1" t="s">
        <v>15</v>
      </c>
      <c r="S7" s="20">
        <v>0.12732743845035605</v>
      </c>
    </row>
    <row r="8" spans="1:19" x14ac:dyDescent="0.35">
      <c r="A8" s="1" t="s">
        <v>46</v>
      </c>
      <c r="B8" s="2">
        <v>0.41442862634430599</v>
      </c>
      <c r="C8" s="2">
        <v>0.42113940376411602</v>
      </c>
      <c r="D8" s="2">
        <v>0.428307791326278</v>
      </c>
      <c r="E8" s="2">
        <v>0.43749380992980103</v>
      </c>
      <c r="F8" s="2">
        <v>0.44777596718789803</v>
      </c>
      <c r="G8" s="2">
        <v>0.45760099985262298</v>
      </c>
      <c r="H8" s="2">
        <v>0.46951916669702398</v>
      </c>
      <c r="I8" s="2">
        <v>0.48281268784209003</v>
      </c>
      <c r="J8" s="2">
        <v>0.49759356601613602</v>
      </c>
      <c r="K8" s="2">
        <v>0.52025096400370496</v>
      </c>
      <c r="L8" s="2">
        <v>0.537842640289666</v>
      </c>
      <c r="M8" s="2">
        <v>0.55065500998579597</v>
      </c>
      <c r="N8" s="2">
        <v>0.56351929828865299</v>
      </c>
      <c r="O8" s="2">
        <v>0.57564963256936996</v>
      </c>
      <c r="P8" s="2">
        <v>0.58661784857923804</v>
      </c>
      <c r="Q8" s="2">
        <v>0.598960299611768</v>
      </c>
      <c r="R8" s="1" t="s">
        <v>16</v>
      </c>
      <c r="S8" s="20">
        <v>0.13803584390014206</v>
      </c>
    </row>
    <row r="9" spans="1:19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9" x14ac:dyDescent="0.3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x14ac:dyDescent="0.3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3" spans="1:19" x14ac:dyDescent="0.3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3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2"/>
    </row>
    <row r="16" spans="1:19" x14ac:dyDescent="0.35">
      <c r="P16" s="1"/>
    </row>
    <row r="17" spans="1:17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2"/>
    </row>
    <row r="18" spans="1:17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2"/>
    </row>
    <row r="19" spans="1:17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2"/>
    </row>
    <row r="20" spans="1:17" x14ac:dyDescent="0.3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2"/>
    </row>
    <row r="21" spans="1:17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2"/>
    </row>
    <row r="22" spans="1:17" x14ac:dyDescent="0.3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33" spans="1:17" x14ac:dyDescent="0.3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8767-16D1-4FD6-9FA0-E28CCC769AA3}">
  <dimension ref="A1:U67"/>
  <sheetViews>
    <sheetView topLeftCell="A5" zoomScale="63" workbookViewId="0">
      <selection activeCell="V58" sqref="V58"/>
    </sheetView>
  </sheetViews>
  <sheetFormatPr defaultRowHeight="14.5" x14ac:dyDescent="0.35"/>
  <cols>
    <col min="1" max="1" width="28.6328125" bestFit="1" customWidth="1"/>
    <col min="18" max="18" width="15.26953125" bestFit="1" customWidth="1"/>
    <col min="19" max="19" width="12.54296875" bestFit="1" customWidth="1"/>
    <col min="21" max="21" width="15.90625" customWidth="1"/>
    <col min="22" max="22" width="12.08984375" bestFit="1" customWidth="1"/>
  </cols>
  <sheetData>
    <row r="1" spans="1:21" x14ac:dyDescent="0.35">
      <c r="A1" t="s">
        <v>47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U1" s="2"/>
    </row>
    <row r="2" spans="1:21" x14ac:dyDescent="0.35">
      <c r="A2" s="1" t="s">
        <v>8</v>
      </c>
      <c r="B2" s="2">
        <v>0.41190383306608302</v>
      </c>
      <c r="C2" s="2">
        <v>0.415026935012203</v>
      </c>
      <c r="D2" s="2">
        <v>0.41759616600825</v>
      </c>
      <c r="E2" s="2">
        <v>0.41941957042446898</v>
      </c>
      <c r="F2" s="2">
        <v>0.42143062467467302</v>
      </c>
      <c r="G2" s="2">
        <v>0.42335137401471301</v>
      </c>
      <c r="H2" s="2">
        <v>0.42568918505087699</v>
      </c>
      <c r="I2" s="2">
        <v>0.42728144960061798</v>
      </c>
      <c r="J2" s="2">
        <v>0.42874443034380399</v>
      </c>
      <c r="K2" s="2">
        <v>0.43034215142075199</v>
      </c>
      <c r="L2" s="2">
        <v>0.43152845709172299</v>
      </c>
      <c r="M2" s="2">
        <v>0.43262374327386599</v>
      </c>
      <c r="N2" s="2">
        <v>0.43392872615491801</v>
      </c>
      <c r="O2" s="2">
        <v>0.43492838584153298</v>
      </c>
      <c r="P2" s="2">
        <v>0.43614825535149199</v>
      </c>
      <c r="Q2" s="2">
        <v>0.43661754886792398</v>
      </c>
      <c r="U2" s="1"/>
    </row>
    <row r="3" spans="1:21" x14ac:dyDescent="0.35">
      <c r="A3" s="1" t="s">
        <v>9</v>
      </c>
      <c r="B3" s="2">
        <v>0.41190383306608302</v>
      </c>
      <c r="C3" s="2">
        <v>0.415026935012203</v>
      </c>
      <c r="D3" s="2">
        <v>0.417726054621536</v>
      </c>
      <c r="E3" s="2">
        <v>0.41939750906963003</v>
      </c>
      <c r="F3" s="2">
        <v>0.42197348724392397</v>
      </c>
      <c r="G3" s="2">
        <v>0.42411342647889999</v>
      </c>
      <c r="H3" s="2">
        <v>0.42595354597943202</v>
      </c>
      <c r="I3" s="2">
        <v>0.42963631832385302</v>
      </c>
      <c r="J3" s="2">
        <v>0.43189018149758801</v>
      </c>
      <c r="K3" s="2">
        <v>0.44258563526976802</v>
      </c>
      <c r="L3" s="2">
        <v>0.44890480247203701</v>
      </c>
      <c r="M3" s="2">
        <v>0.45002243093046801</v>
      </c>
      <c r="N3" s="2">
        <v>0.45134430900607497</v>
      </c>
      <c r="O3" s="2">
        <v>0.452529941108473</v>
      </c>
      <c r="P3" s="2">
        <v>0.45358644235782197</v>
      </c>
      <c r="Q3" s="2">
        <v>0.45469905565259899</v>
      </c>
      <c r="U3" s="1"/>
    </row>
    <row r="4" spans="1:21" x14ac:dyDescent="0.35">
      <c r="A4" s="1" t="s">
        <v>37</v>
      </c>
      <c r="B4" s="2">
        <v>0.41190383306608302</v>
      </c>
      <c r="C4" s="2">
        <v>0.41583507225444</v>
      </c>
      <c r="D4" s="2">
        <v>0.418828407753431</v>
      </c>
      <c r="E4" s="2">
        <v>0.42192201696777798</v>
      </c>
      <c r="F4" s="2">
        <v>0.42499934342707801</v>
      </c>
      <c r="G4" s="2">
        <v>0.428235576171002</v>
      </c>
      <c r="H4" s="2">
        <v>0.43061991253162601</v>
      </c>
      <c r="I4" s="2">
        <v>0.43320550904398902</v>
      </c>
      <c r="J4" s="2">
        <v>0.43556542902328999</v>
      </c>
      <c r="K4" s="2">
        <v>0.43800035747112098</v>
      </c>
      <c r="L4" s="2">
        <v>0.44051894425916099</v>
      </c>
      <c r="M4" s="2">
        <v>0.44323617810216498</v>
      </c>
      <c r="N4" s="2">
        <v>0.44540434494178799</v>
      </c>
      <c r="O4" s="2">
        <v>0.44760123950300801</v>
      </c>
      <c r="P4" s="2">
        <v>0.44959447868132002</v>
      </c>
      <c r="Q4" s="2">
        <v>0.45136808565977499</v>
      </c>
      <c r="R4" s="3"/>
    </row>
    <row r="5" spans="1:21" x14ac:dyDescent="0.35">
      <c r="A5" s="1" t="s">
        <v>38</v>
      </c>
      <c r="B5" s="2">
        <v>0.41190383306608302</v>
      </c>
      <c r="C5" s="2">
        <v>0.41583507225444</v>
      </c>
      <c r="D5" s="2">
        <v>0.418856771949837</v>
      </c>
      <c r="E5" s="2">
        <v>0.42166890226751502</v>
      </c>
      <c r="F5" s="2">
        <v>0.42483675352071398</v>
      </c>
      <c r="G5" s="2">
        <v>0.42824733193908199</v>
      </c>
      <c r="H5" s="2">
        <v>0.430913323137041</v>
      </c>
      <c r="I5" s="2">
        <v>0.43604023283885301</v>
      </c>
      <c r="J5" s="2">
        <v>0.43923621701050602</v>
      </c>
      <c r="K5" s="2">
        <v>0.45124411035460299</v>
      </c>
      <c r="L5" s="2">
        <v>0.45819523184567901</v>
      </c>
      <c r="M5" s="2">
        <v>0.46032890758561201</v>
      </c>
      <c r="N5" s="2">
        <v>0.46238506717519501</v>
      </c>
      <c r="O5" s="2">
        <v>0.46428829666240601</v>
      </c>
      <c r="P5" s="2">
        <v>0.46601591599900599</v>
      </c>
      <c r="Q5" s="2">
        <v>0.46755827653998999</v>
      </c>
      <c r="R5" s="3"/>
    </row>
    <row r="6" spans="1:21" x14ac:dyDescent="0.35">
      <c r="A6" s="1" t="s">
        <v>43</v>
      </c>
      <c r="B6" s="2">
        <v>0.41190383306608302</v>
      </c>
      <c r="C6" s="2">
        <v>0.41583507225444</v>
      </c>
      <c r="D6" s="2">
        <v>0.418828407753431</v>
      </c>
      <c r="E6" s="2">
        <v>0.42192201696777798</v>
      </c>
      <c r="F6" s="2">
        <v>0.42499934342707801</v>
      </c>
      <c r="G6" s="2">
        <v>0.428235576171002</v>
      </c>
      <c r="H6" s="2">
        <v>0.43148360013618398</v>
      </c>
      <c r="I6" s="2">
        <v>0.43460043079028399</v>
      </c>
      <c r="J6" s="2">
        <v>0.437334078948308</v>
      </c>
      <c r="K6" s="2">
        <v>0.44028785771972401</v>
      </c>
      <c r="L6" s="2">
        <v>0.44250772039946901</v>
      </c>
      <c r="M6" s="2">
        <v>0.44526867902134698</v>
      </c>
      <c r="N6" s="2">
        <v>0.446900714805335</v>
      </c>
      <c r="O6" s="2">
        <v>0.44873539315746502</v>
      </c>
      <c r="P6" s="2">
        <v>0.45080859485073099</v>
      </c>
      <c r="Q6" s="2">
        <v>0.45240656977383797</v>
      </c>
    </row>
    <row r="7" spans="1:21" x14ac:dyDescent="0.35">
      <c r="A7" s="1" t="s">
        <v>44</v>
      </c>
      <c r="B7" s="2">
        <v>0.41190383306608302</v>
      </c>
      <c r="C7" s="2">
        <v>0.41583507225444</v>
      </c>
      <c r="D7" s="2">
        <v>0.418856771949837</v>
      </c>
      <c r="E7" s="2">
        <v>0.42166890226751502</v>
      </c>
      <c r="F7" s="2">
        <v>0.42483675352071398</v>
      </c>
      <c r="G7" s="2">
        <v>0.42824733193908199</v>
      </c>
      <c r="H7" s="2">
        <v>0.43171495425668699</v>
      </c>
      <c r="I7" s="2">
        <v>0.43671102230455899</v>
      </c>
      <c r="J7" s="2">
        <v>0.44014445825687698</v>
      </c>
      <c r="K7" s="2">
        <v>0.45235410396791498</v>
      </c>
      <c r="L7" s="2">
        <v>0.45987689800534798</v>
      </c>
      <c r="M7" s="2">
        <v>0.462255254304337</v>
      </c>
      <c r="N7" s="2">
        <v>0.46426546950266601</v>
      </c>
      <c r="O7" s="2">
        <v>0.46632049447764801</v>
      </c>
      <c r="P7" s="2">
        <v>0.46799827292929502</v>
      </c>
      <c r="Q7" s="2">
        <v>0.46921836470148798</v>
      </c>
    </row>
    <row r="8" spans="1:21" x14ac:dyDescent="0.35">
      <c r="A8" s="1" t="s">
        <v>31</v>
      </c>
      <c r="B8" s="2">
        <v>0.41190383306608302</v>
      </c>
      <c r="C8" s="2">
        <v>0.415794812795036</v>
      </c>
      <c r="D8" s="2">
        <v>0.41910452908736301</v>
      </c>
      <c r="E8" s="2">
        <v>0.42235163243872198</v>
      </c>
      <c r="F8" s="2">
        <v>0.42541811123241502</v>
      </c>
      <c r="G8" s="2">
        <v>0.42877829545213503</v>
      </c>
      <c r="H8" s="2">
        <v>0.43170284502234302</v>
      </c>
      <c r="I8" s="2">
        <v>0.43501717997169598</v>
      </c>
      <c r="J8" s="2">
        <v>0.437745225885534</v>
      </c>
      <c r="K8" s="2">
        <v>0.44053995984060501</v>
      </c>
      <c r="L8" s="2">
        <v>0.44253923735773398</v>
      </c>
      <c r="M8" s="2">
        <v>0.44529991838029798</v>
      </c>
      <c r="N8" s="2">
        <v>0.44728852290398002</v>
      </c>
      <c r="O8" s="2">
        <v>0.44930432903342798</v>
      </c>
      <c r="P8" s="2">
        <v>0.45147347767773299</v>
      </c>
      <c r="Q8" s="2">
        <v>0.452761002660301</v>
      </c>
      <c r="U8" s="2"/>
    </row>
    <row r="9" spans="1:21" x14ac:dyDescent="0.35">
      <c r="A9" s="1" t="s">
        <v>32</v>
      </c>
      <c r="B9" s="2">
        <v>0.41190383306608302</v>
      </c>
      <c r="C9" s="2">
        <v>0.415794812795036</v>
      </c>
      <c r="D9" s="2">
        <v>0.419093458901722</v>
      </c>
      <c r="E9" s="2">
        <v>0.42227886183759</v>
      </c>
      <c r="F9" s="2">
        <v>0.42587135979961099</v>
      </c>
      <c r="G9" s="2">
        <v>0.42963723931744102</v>
      </c>
      <c r="H9" s="2">
        <v>0.43231956982806902</v>
      </c>
      <c r="I9" s="2">
        <v>0.43765559535774101</v>
      </c>
      <c r="J9" s="2">
        <v>0.44108914339842398</v>
      </c>
      <c r="K9" s="2">
        <v>0.45275592748892701</v>
      </c>
      <c r="L9" s="2">
        <v>0.45997349930939302</v>
      </c>
      <c r="M9" s="2">
        <v>0.46257089240260102</v>
      </c>
      <c r="N9" s="2">
        <v>0.46476721547428301</v>
      </c>
      <c r="O9" s="2">
        <v>0.46665378951582798</v>
      </c>
      <c r="P9" s="2">
        <v>0.46831388407549002</v>
      </c>
      <c r="Q9" s="2">
        <v>0.46988380218148601</v>
      </c>
      <c r="U9" s="2"/>
    </row>
    <row r="10" spans="1:21" x14ac:dyDescent="0.35">
      <c r="A10" s="1" t="s">
        <v>6</v>
      </c>
      <c r="B10" s="2">
        <v>0.41365437093566998</v>
      </c>
      <c r="C10" s="2">
        <v>0.41950640351721002</v>
      </c>
      <c r="D10" s="2">
        <v>0.42526678802248102</v>
      </c>
      <c r="E10" s="2">
        <v>0.433320580675217</v>
      </c>
      <c r="F10" s="2">
        <v>0.43961044882554901</v>
      </c>
      <c r="G10" s="2">
        <v>0.44715629091609999</v>
      </c>
      <c r="H10" s="2">
        <v>0.4540415901689</v>
      </c>
      <c r="I10" s="2">
        <v>0.461417318897552</v>
      </c>
      <c r="J10" s="2">
        <v>0.46901898645523199</v>
      </c>
      <c r="K10" s="2">
        <v>0.47615168460255097</v>
      </c>
      <c r="L10" s="2">
        <v>0.48396691657563001</v>
      </c>
      <c r="M10" s="2">
        <v>0.49113928167952497</v>
      </c>
      <c r="N10" s="2">
        <v>0.49748690683533398</v>
      </c>
      <c r="O10" s="2">
        <v>0.50417438719103802</v>
      </c>
      <c r="P10" s="2">
        <v>0.51070272200320099</v>
      </c>
      <c r="Q10" s="2">
        <v>0.51693209374923998</v>
      </c>
      <c r="U10" s="1"/>
    </row>
    <row r="11" spans="1:21" x14ac:dyDescent="0.35">
      <c r="A11" s="1" t="s">
        <v>7</v>
      </c>
      <c r="B11" s="2">
        <v>0.41365437093566998</v>
      </c>
      <c r="C11" s="2">
        <v>0.41950640351721002</v>
      </c>
      <c r="D11" s="2">
        <v>0.42558174080866901</v>
      </c>
      <c r="E11" s="2">
        <v>0.43325804956028602</v>
      </c>
      <c r="F11" s="2">
        <v>0.44027738073693701</v>
      </c>
      <c r="G11" s="2">
        <v>0.447518723617157</v>
      </c>
      <c r="H11" s="2">
        <v>0.45489425287497298</v>
      </c>
      <c r="I11" s="2">
        <v>0.46421862728925201</v>
      </c>
      <c r="J11" s="2">
        <v>0.47237924122522001</v>
      </c>
      <c r="K11" s="2">
        <v>0.48644591715365199</v>
      </c>
      <c r="L11" s="2">
        <v>0.49774797393735598</v>
      </c>
      <c r="M11" s="2">
        <v>0.50406175674051201</v>
      </c>
      <c r="N11" s="2">
        <v>0.51061827635558898</v>
      </c>
      <c r="O11" s="2">
        <v>0.51717374817815698</v>
      </c>
      <c r="P11" s="2">
        <v>0.52318437622835601</v>
      </c>
      <c r="Q11" s="2">
        <v>0.52864043241071001</v>
      </c>
      <c r="U11" s="1"/>
    </row>
    <row r="12" spans="1:21" x14ac:dyDescent="0.35">
      <c r="A12" s="1" t="s">
        <v>35</v>
      </c>
      <c r="B12" s="2">
        <v>0.41365437093566998</v>
      </c>
      <c r="C12" s="2">
        <v>0.41973118165006601</v>
      </c>
      <c r="D12" s="2">
        <v>0.42659269986614001</v>
      </c>
      <c r="E12" s="2">
        <v>0.43569132855649401</v>
      </c>
      <c r="F12" s="2">
        <v>0.44461460482324699</v>
      </c>
      <c r="G12" s="2">
        <v>0.45518558477586502</v>
      </c>
      <c r="H12" s="2">
        <v>0.46595544606227401</v>
      </c>
      <c r="I12" s="2">
        <v>0.47795001821594002</v>
      </c>
      <c r="J12" s="2">
        <v>0.488911272545478</v>
      </c>
      <c r="K12" s="2">
        <v>0.50094061144500501</v>
      </c>
      <c r="L12" s="2">
        <v>0.51296291337414002</v>
      </c>
      <c r="M12" s="2">
        <v>0.52481831922678301</v>
      </c>
      <c r="N12" s="2">
        <v>0.53623097093785499</v>
      </c>
      <c r="O12" s="2">
        <v>0.54771924733822996</v>
      </c>
      <c r="P12" s="2">
        <v>0.55791870239358399</v>
      </c>
      <c r="Q12" s="2">
        <v>0.56857639103026403</v>
      </c>
      <c r="R12" s="3"/>
      <c r="U12" s="2"/>
    </row>
    <row r="13" spans="1:21" x14ac:dyDescent="0.35">
      <c r="A13" s="1" t="s">
        <v>36</v>
      </c>
      <c r="B13" s="2">
        <v>0.41365437093566998</v>
      </c>
      <c r="C13" s="2">
        <v>0.41973118165006601</v>
      </c>
      <c r="D13" s="2">
        <v>0.42660989363873097</v>
      </c>
      <c r="E13" s="2">
        <v>0.43539131587553898</v>
      </c>
      <c r="F13" s="2">
        <v>0.44605422399851502</v>
      </c>
      <c r="G13" s="2">
        <v>0.45555329332031003</v>
      </c>
      <c r="H13" s="2">
        <v>0.46619364997199902</v>
      </c>
      <c r="I13" s="2">
        <v>0.479408514913085</v>
      </c>
      <c r="J13" s="2">
        <v>0.49123520434492701</v>
      </c>
      <c r="K13" s="2">
        <v>0.51086013764645199</v>
      </c>
      <c r="L13" s="2">
        <v>0.52650980482609799</v>
      </c>
      <c r="M13" s="2">
        <v>0.53674910170967605</v>
      </c>
      <c r="N13" s="2">
        <v>0.54875459746242905</v>
      </c>
      <c r="O13" s="2">
        <v>0.559368046257121</v>
      </c>
      <c r="P13" s="2">
        <v>0.56941050509325697</v>
      </c>
      <c r="Q13" s="2">
        <v>0.57918089507026005</v>
      </c>
      <c r="R13" s="3"/>
    </row>
    <row r="14" spans="1:21" x14ac:dyDescent="0.35">
      <c r="A14" s="1" t="s">
        <v>41</v>
      </c>
      <c r="B14" s="2">
        <v>0.41365437093566998</v>
      </c>
      <c r="C14" s="2">
        <v>0.41973118165006601</v>
      </c>
      <c r="D14" s="2">
        <v>0.42659269986614001</v>
      </c>
      <c r="E14" s="2">
        <v>0.43569132855649401</v>
      </c>
      <c r="F14" s="2">
        <v>0.44461460482324699</v>
      </c>
      <c r="G14" s="2">
        <v>0.45518558477586502</v>
      </c>
      <c r="H14" s="2">
        <v>0.46681542852478902</v>
      </c>
      <c r="I14" s="2">
        <v>0.47958506357282499</v>
      </c>
      <c r="J14" s="2">
        <v>0.49237647127596401</v>
      </c>
      <c r="K14" s="2">
        <v>0.50624638823628099</v>
      </c>
      <c r="L14" s="2">
        <v>0.51886793427718003</v>
      </c>
      <c r="M14" s="2">
        <v>0.53102145246126398</v>
      </c>
      <c r="N14" s="2">
        <v>0.542649291429529</v>
      </c>
      <c r="O14" s="2">
        <v>0.55409092785677205</v>
      </c>
      <c r="P14" s="2">
        <v>0.56330854889473003</v>
      </c>
      <c r="Q14" s="2">
        <v>0.57254755261015</v>
      </c>
      <c r="U14" s="2"/>
    </row>
    <row r="15" spans="1:21" x14ac:dyDescent="0.35">
      <c r="A15" s="1" t="s">
        <v>42</v>
      </c>
      <c r="B15" s="2">
        <v>0.41365437093566998</v>
      </c>
      <c r="C15" s="2">
        <v>0.41973118165006601</v>
      </c>
      <c r="D15" s="2">
        <v>0.42660989363873097</v>
      </c>
      <c r="E15" s="2">
        <v>0.43539131587553898</v>
      </c>
      <c r="F15" s="2">
        <v>0.44605422399851502</v>
      </c>
      <c r="G15" s="2">
        <v>0.45555329332031003</v>
      </c>
      <c r="H15" s="2">
        <v>0.46714768201892698</v>
      </c>
      <c r="I15" s="2">
        <v>0.48083837417915098</v>
      </c>
      <c r="J15" s="2">
        <v>0.49453538964277799</v>
      </c>
      <c r="K15" s="2">
        <v>0.51540810080487698</v>
      </c>
      <c r="L15" s="2">
        <v>0.53095193932078</v>
      </c>
      <c r="M15" s="2">
        <v>0.54194839040411003</v>
      </c>
      <c r="N15" s="2">
        <v>0.55318614628984797</v>
      </c>
      <c r="O15" s="2">
        <v>0.56323968630531396</v>
      </c>
      <c r="P15" s="2">
        <v>0.57313915182558295</v>
      </c>
      <c r="Q15" s="2">
        <v>0.58200600380957201</v>
      </c>
    </row>
    <row r="16" spans="1:21" x14ac:dyDescent="0.35">
      <c r="A16" s="1" t="s">
        <v>29</v>
      </c>
      <c r="B16" s="2">
        <v>0.41365437093566998</v>
      </c>
      <c r="C16" s="2">
        <v>0.42012601280376299</v>
      </c>
      <c r="D16" s="2">
        <v>0.42732127969289302</v>
      </c>
      <c r="E16" s="2">
        <v>0.43678078059861403</v>
      </c>
      <c r="F16" s="2">
        <v>0.44744352866903397</v>
      </c>
      <c r="G16" s="2">
        <v>0.45869423331939202</v>
      </c>
      <c r="H16" s="2">
        <v>0.46977388750639798</v>
      </c>
      <c r="I16" s="2">
        <v>0.48311997111266702</v>
      </c>
      <c r="J16" s="2">
        <v>0.49548958209113397</v>
      </c>
      <c r="K16" s="2">
        <v>0.50776539964303802</v>
      </c>
      <c r="L16" s="2">
        <v>0.52045190438215905</v>
      </c>
      <c r="M16" s="2">
        <v>0.53292612601191702</v>
      </c>
      <c r="N16" s="2">
        <v>0.54481573745413703</v>
      </c>
      <c r="O16" s="2">
        <v>0.55550556349103897</v>
      </c>
      <c r="P16" s="2">
        <v>0.56631269561738595</v>
      </c>
      <c r="Q16" s="2">
        <v>0.57611942125072502</v>
      </c>
      <c r="U16" s="1"/>
    </row>
    <row r="17" spans="1:21" x14ac:dyDescent="0.35">
      <c r="A17" s="1" t="s">
        <v>30</v>
      </c>
      <c r="B17" s="2">
        <v>0.41365437093566998</v>
      </c>
      <c r="C17" s="2">
        <v>0.42012601280376299</v>
      </c>
      <c r="D17" s="2">
        <v>0.42738328486080701</v>
      </c>
      <c r="E17" s="2">
        <v>0.43711066287926997</v>
      </c>
      <c r="F17" s="2">
        <v>0.44757498827622499</v>
      </c>
      <c r="G17" s="2">
        <v>0.45858227455707401</v>
      </c>
      <c r="H17" s="2">
        <v>0.47051444862908898</v>
      </c>
      <c r="I17" s="2">
        <v>0.48458830865449498</v>
      </c>
      <c r="J17" s="2">
        <v>0.49823397043539702</v>
      </c>
      <c r="K17" s="2">
        <v>0.51775144866794298</v>
      </c>
      <c r="L17" s="2">
        <v>0.53328882709250502</v>
      </c>
      <c r="M17" s="2">
        <v>0.54448183524655702</v>
      </c>
      <c r="N17" s="2">
        <v>0.55577050329434796</v>
      </c>
      <c r="O17" s="2">
        <v>0.56721341508973999</v>
      </c>
      <c r="P17" s="2">
        <v>0.57757298717871997</v>
      </c>
      <c r="Q17" s="2">
        <v>0.58711557350279997</v>
      </c>
      <c r="U17" s="2"/>
    </row>
    <row r="18" spans="1:21" x14ac:dyDescent="0.35">
      <c r="A18" s="1" t="s">
        <v>10</v>
      </c>
      <c r="B18" s="2">
        <v>0.41442862634430599</v>
      </c>
      <c r="C18" s="2">
        <v>0.42056384648655498</v>
      </c>
      <c r="D18" s="2">
        <v>0.42743447156233999</v>
      </c>
      <c r="E18" s="2">
        <v>0.43402148050239697</v>
      </c>
      <c r="F18" s="2">
        <v>0.44151311624668699</v>
      </c>
      <c r="G18" s="2">
        <v>0.44818230168810802</v>
      </c>
      <c r="H18" s="2">
        <v>0.45535298070505598</v>
      </c>
      <c r="I18" s="2">
        <v>0.46325725452744199</v>
      </c>
      <c r="J18" s="2">
        <v>0.47063755986025202</v>
      </c>
      <c r="K18" s="2">
        <v>0.47823762612883097</v>
      </c>
      <c r="L18" s="2">
        <v>0.48721851606779998</v>
      </c>
      <c r="M18" s="2">
        <v>0.49525986982148201</v>
      </c>
      <c r="N18" s="2">
        <v>0.50313928794532203</v>
      </c>
      <c r="O18" s="2">
        <v>0.510728055744052</v>
      </c>
      <c r="P18" s="2">
        <v>0.51768909516162098</v>
      </c>
      <c r="Q18" s="2">
        <v>0.52576900482897804</v>
      </c>
      <c r="U18" s="1"/>
    </row>
    <row r="19" spans="1:21" x14ac:dyDescent="0.35">
      <c r="A19" s="1" t="s">
        <v>11</v>
      </c>
      <c r="B19" s="2">
        <v>0.41442862634430599</v>
      </c>
      <c r="C19" s="2">
        <v>0.42056384648655498</v>
      </c>
      <c r="D19" s="2">
        <v>0.42727051251065901</v>
      </c>
      <c r="E19" s="2">
        <v>0.43407237818203798</v>
      </c>
      <c r="F19" s="2">
        <v>0.442524412147208</v>
      </c>
      <c r="G19" s="2">
        <v>0.44979652516123703</v>
      </c>
      <c r="H19" s="2">
        <v>0.457351529209646</v>
      </c>
      <c r="I19" s="2">
        <v>0.46653257383256003</v>
      </c>
      <c r="J19" s="2">
        <v>0.47418267989435497</v>
      </c>
      <c r="K19" s="2">
        <v>0.48967026724841001</v>
      </c>
      <c r="L19" s="2">
        <v>0.50191410177117901</v>
      </c>
      <c r="M19" s="2">
        <v>0.51018215149930501</v>
      </c>
      <c r="N19" s="2">
        <v>0.51703860245811994</v>
      </c>
      <c r="O19" s="2">
        <v>0.524224860762042</v>
      </c>
      <c r="P19" s="2">
        <v>0.53128304421498096</v>
      </c>
      <c r="Q19" s="2">
        <v>0.53828343703134995</v>
      </c>
      <c r="U19" s="1"/>
    </row>
    <row r="20" spans="1:21" x14ac:dyDescent="0.35">
      <c r="A20" s="1" t="s">
        <v>39</v>
      </c>
      <c r="B20" s="2">
        <v>0.41442862634430599</v>
      </c>
      <c r="C20" s="2">
        <v>0.42113940376411602</v>
      </c>
      <c r="D20" s="2">
        <v>0.42830279755221801</v>
      </c>
      <c r="E20" s="2">
        <v>0.43716175193984402</v>
      </c>
      <c r="F20" s="2">
        <v>0.446931946047183</v>
      </c>
      <c r="G20" s="2">
        <v>0.45729986984348198</v>
      </c>
      <c r="H20" s="2">
        <v>0.467272435613026</v>
      </c>
      <c r="I20" s="2">
        <v>0.47811522526455402</v>
      </c>
      <c r="J20" s="2">
        <v>0.49144363683111603</v>
      </c>
      <c r="K20" s="2">
        <v>0.50409639629134995</v>
      </c>
      <c r="L20" s="2">
        <v>0.516762289683524</v>
      </c>
      <c r="M20" s="2">
        <v>0.52948679271496601</v>
      </c>
      <c r="N20" s="2">
        <v>0.54341922152292599</v>
      </c>
      <c r="O20" s="2">
        <v>0.55613792845741095</v>
      </c>
      <c r="P20" s="2">
        <v>0.56858442864165804</v>
      </c>
      <c r="Q20" s="2">
        <v>0.58215376730077795</v>
      </c>
    </row>
    <row r="21" spans="1:21" x14ac:dyDescent="0.35">
      <c r="A21" s="1" t="s">
        <v>40</v>
      </c>
      <c r="B21" s="2">
        <v>0.41442862634430599</v>
      </c>
      <c r="C21" s="2">
        <v>0.42113940376411602</v>
      </c>
      <c r="D21" s="2">
        <v>0.428307791326278</v>
      </c>
      <c r="E21" s="2">
        <v>0.43749380992980103</v>
      </c>
      <c r="F21" s="2">
        <v>0.44777596718789803</v>
      </c>
      <c r="G21" s="2">
        <v>0.45760099985262298</v>
      </c>
      <c r="H21" s="2">
        <v>0.46890332208569901</v>
      </c>
      <c r="I21" s="2">
        <v>0.481320544395345</v>
      </c>
      <c r="J21" s="2">
        <v>0.49350687247497899</v>
      </c>
      <c r="K21" s="2">
        <v>0.51422221734520701</v>
      </c>
      <c r="L21" s="2">
        <v>0.53037693812079201</v>
      </c>
      <c r="M21" s="2">
        <v>0.54266881189051497</v>
      </c>
      <c r="N21" s="2">
        <v>0.55480326120336498</v>
      </c>
      <c r="O21" s="2">
        <v>0.56691307096779997</v>
      </c>
      <c r="P21" s="2">
        <v>0.57849772624231499</v>
      </c>
      <c r="Q21" s="2">
        <v>0.59234281072792705</v>
      </c>
    </row>
    <row r="22" spans="1:21" x14ac:dyDescent="0.35">
      <c r="A22" s="1" t="s">
        <v>45</v>
      </c>
      <c r="B22" s="2">
        <v>0.41442862634430599</v>
      </c>
      <c r="C22" s="2">
        <v>0.42113940376411602</v>
      </c>
      <c r="D22" s="2">
        <v>0.42830279755221801</v>
      </c>
      <c r="E22" s="2">
        <v>0.43716175193984402</v>
      </c>
      <c r="F22" s="2">
        <v>0.446931946047183</v>
      </c>
      <c r="G22" s="2">
        <v>0.45729986984348198</v>
      </c>
      <c r="H22" s="2">
        <v>0.46842057905913898</v>
      </c>
      <c r="I22" s="2">
        <v>0.47901968300958297</v>
      </c>
      <c r="J22" s="2">
        <v>0.49352585043105901</v>
      </c>
      <c r="K22" s="2">
        <v>0.50848256437438399</v>
      </c>
      <c r="L22" s="2">
        <v>0.52252570086361205</v>
      </c>
      <c r="M22" s="2">
        <v>0.53675148075853596</v>
      </c>
      <c r="N22" s="2">
        <v>0.54935014486172695</v>
      </c>
      <c r="O22" s="2">
        <v>0.56155142686019499</v>
      </c>
      <c r="P22" s="2">
        <v>0.57345287261114997</v>
      </c>
      <c r="Q22" s="2">
        <v>0.58705488572318798</v>
      </c>
    </row>
    <row r="23" spans="1:21" x14ac:dyDescent="0.35">
      <c r="A23" s="1" t="s">
        <v>46</v>
      </c>
      <c r="B23" s="2">
        <v>0.41442862634430599</v>
      </c>
      <c r="C23" s="2">
        <v>0.42113940376411602</v>
      </c>
      <c r="D23" s="2">
        <v>0.428307791326278</v>
      </c>
      <c r="E23" s="2">
        <v>0.43749380992980103</v>
      </c>
      <c r="F23" s="2">
        <v>0.44777596718789803</v>
      </c>
      <c r="G23" s="2">
        <v>0.45760099985262298</v>
      </c>
      <c r="H23" s="2">
        <v>0.46951916669702398</v>
      </c>
      <c r="I23" s="2">
        <v>0.48281268784209003</v>
      </c>
      <c r="J23" s="2">
        <v>0.49759356601613602</v>
      </c>
      <c r="K23" s="2">
        <v>0.52025096400370496</v>
      </c>
      <c r="L23" s="2">
        <v>0.537842640289666</v>
      </c>
      <c r="M23" s="2">
        <v>0.55065500998579597</v>
      </c>
      <c r="N23" s="2">
        <v>0.56351929828865299</v>
      </c>
      <c r="O23" s="2">
        <v>0.57564963256936996</v>
      </c>
      <c r="P23" s="2">
        <v>0.58661784857923804</v>
      </c>
      <c r="Q23" s="2">
        <v>0.598960299611768</v>
      </c>
    </row>
    <row r="24" spans="1:21" x14ac:dyDescent="0.35">
      <c r="A24" s="1" t="s">
        <v>33</v>
      </c>
      <c r="B24" s="2">
        <v>0.41442862634430599</v>
      </c>
      <c r="C24" s="2">
        <v>0.42124143259499203</v>
      </c>
      <c r="D24" s="2">
        <v>0.42965800251397701</v>
      </c>
      <c r="E24" s="2">
        <v>0.43972677979999197</v>
      </c>
      <c r="F24" s="2">
        <v>0.45050119370143299</v>
      </c>
      <c r="G24" s="2">
        <v>0.46245649428229801</v>
      </c>
      <c r="H24" s="2">
        <v>0.47349323211849198</v>
      </c>
      <c r="I24" s="2">
        <v>0.48600846438503298</v>
      </c>
      <c r="J24" s="2">
        <v>0.50007246954002305</v>
      </c>
      <c r="K24" s="2">
        <v>0.51387713717033701</v>
      </c>
      <c r="L24" s="2">
        <v>0.52780391818803496</v>
      </c>
      <c r="M24" s="2">
        <v>0.54170140336351502</v>
      </c>
      <c r="N24" s="2">
        <v>0.55552606138996896</v>
      </c>
      <c r="O24" s="2">
        <v>0.56885476103170896</v>
      </c>
      <c r="P24" s="2">
        <v>0.58074949846153201</v>
      </c>
      <c r="Q24" s="2">
        <v>0.595535554603429</v>
      </c>
      <c r="U24" s="2"/>
    </row>
    <row r="25" spans="1:21" x14ac:dyDescent="0.35">
      <c r="A25" s="1" t="s">
        <v>34</v>
      </c>
      <c r="B25" s="2">
        <v>0.41442862634430599</v>
      </c>
      <c r="C25" s="2">
        <v>0.42124143259499203</v>
      </c>
      <c r="D25" s="2">
        <v>0.42974277766128299</v>
      </c>
      <c r="E25" s="2">
        <v>0.43952252333976299</v>
      </c>
      <c r="F25" s="2">
        <v>0.45058674093218598</v>
      </c>
      <c r="G25" s="2">
        <v>0.461750277527748</v>
      </c>
      <c r="H25" s="2">
        <v>0.47424945074286101</v>
      </c>
      <c r="I25" s="2">
        <v>0.48805112787794203</v>
      </c>
      <c r="J25" s="2">
        <v>0.50231885257422304</v>
      </c>
      <c r="K25" s="2">
        <v>0.52394349145922403</v>
      </c>
      <c r="L25" s="2">
        <v>0.54112066872634401</v>
      </c>
      <c r="M25" s="2">
        <v>0.55461151979497603</v>
      </c>
      <c r="N25" s="2">
        <v>0.566944487837995</v>
      </c>
      <c r="O25" s="2">
        <v>0.57838372599314303</v>
      </c>
      <c r="P25" s="2">
        <v>0.59183409972582701</v>
      </c>
      <c r="Q25" s="2">
        <v>0.60551921362094996</v>
      </c>
      <c r="U25" s="2"/>
    </row>
    <row r="26" spans="1:2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3"/>
    </row>
    <row r="27" spans="1:21" x14ac:dyDescent="0.35">
      <c r="R27" s="3"/>
    </row>
    <row r="28" spans="1:21" x14ac:dyDescent="0.35">
      <c r="A28" s="16" t="s">
        <v>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21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21" x14ac:dyDescent="0.35">
      <c r="A30" s="7"/>
      <c r="B30" s="12">
        <v>2025</v>
      </c>
      <c r="C30" s="12">
        <v>2026</v>
      </c>
      <c r="D30" s="12">
        <v>2027</v>
      </c>
      <c r="E30" s="12">
        <v>2028</v>
      </c>
      <c r="F30" s="12">
        <v>2029</v>
      </c>
      <c r="G30" s="12">
        <v>2030</v>
      </c>
      <c r="H30" s="12">
        <v>2031</v>
      </c>
      <c r="I30" s="12">
        <v>2032</v>
      </c>
      <c r="J30" s="12">
        <v>2033</v>
      </c>
      <c r="K30" s="12">
        <v>2034</v>
      </c>
      <c r="L30" s="12">
        <v>2035</v>
      </c>
      <c r="M30" s="12">
        <v>2036</v>
      </c>
      <c r="N30" s="12">
        <v>2037</v>
      </c>
      <c r="O30" s="12">
        <v>2038</v>
      </c>
      <c r="P30" s="12">
        <v>2039</v>
      </c>
      <c r="Q30" s="12">
        <v>2040</v>
      </c>
      <c r="R30" s="12" t="s">
        <v>21</v>
      </c>
      <c r="S30" s="12" t="s">
        <v>22</v>
      </c>
    </row>
    <row r="31" spans="1:21" x14ac:dyDescent="0.35">
      <c r="A31" s="12" t="s">
        <v>6</v>
      </c>
      <c r="B31" s="9">
        <f>B10</f>
        <v>0.41365437093566998</v>
      </c>
      <c r="C31" s="9">
        <f t="shared" ref="C31:Q31" si="0">C10</f>
        <v>0.41950640351721002</v>
      </c>
      <c r="D31" s="9">
        <f t="shared" si="0"/>
        <v>0.42526678802248102</v>
      </c>
      <c r="E31" s="9">
        <f t="shared" si="0"/>
        <v>0.433320580675217</v>
      </c>
      <c r="F31" s="9">
        <f t="shared" si="0"/>
        <v>0.43961044882554901</v>
      </c>
      <c r="G31" s="9">
        <f t="shared" si="0"/>
        <v>0.44715629091609999</v>
      </c>
      <c r="H31" s="9">
        <f t="shared" si="0"/>
        <v>0.4540415901689</v>
      </c>
      <c r="I31" s="9">
        <f t="shared" si="0"/>
        <v>0.461417318897552</v>
      </c>
      <c r="J31" s="9">
        <f t="shared" si="0"/>
        <v>0.46901898645523199</v>
      </c>
      <c r="K31" s="9">
        <f t="shared" si="0"/>
        <v>0.47615168460255097</v>
      </c>
      <c r="L31" s="9">
        <f t="shared" si="0"/>
        <v>0.48396691657563001</v>
      </c>
      <c r="M31" s="9">
        <f t="shared" si="0"/>
        <v>0.49113928167952497</v>
      </c>
      <c r="N31" s="9">
        <f t="shared" si="0"/>
        <v>0.49748690683533398</v>
      </c>
      <c r="O31" s="9">
        <f t="shared" si="0"/>
        <v>0.50417438719103802</v>
      </c>
      <c r="P31" s="9">
        <f t="shared" si="0"/>
        <v>0.51070272200320099</v>
      </c>
      <c r="Q31" s="9">
        <f t="shared" si="0"/>
        <v>0.51693209374923998</v>
      </c>
      <c r="R31" s="8">
        <f>Q31-$Q$31</f>
        <v>0</v>
      </c>
      <c r="S31" s="7"/>
    </row>
    <row r="32" spans="1:21" x14ac:dyDescent="0.35">
      <c r="A32" s="12" t="s">
        <v>35</v>
      </c>
      <c r="B32" s="9">
        <f>B12</f>
        <v>0.41365437093566998</v>
      </c>
      <c r="C32" s="9">
        <f t="shared" ref="C32:Q32" si="1">C12</f>
        <v>0.41973118165006601</v>
      </c>
      <c r="D32" s="9">
        <f t="shared" si="1"/>
        <v>0.42659269986614001</v>
      </c>
      <c r="E32" s="9">
        <f t="shared" si="1"/>
        <v>0.43569132855649401</v>
      </c>
      <c r="F32" s="9">
        <f t="shared" si="1"/>
        <v>0.44461460482324699</v>
      </c>
      <c r="G32" s="9">
        <f t="shared" si="1"/>
        <v>0.45518558477586502</v>
      </c>
      <c r="H32" s="9">
        <f t="shared" si="1"/>
        <v>0.46595544606227401</v>
      </c>
      <c r="I32" s="9">
        <f t="shared" si="1"/>
        <v>0.47795001821594002</v>
      </c>
      <c r="J32" s="9">
        <f t="shared" si="1"/>
        <v>0.488911272545478</v>
      </c>
      <c r="K32" s="9">
        <f t="shared" si="1"/>
        <v>0.50094061144500501</v>
      </c>
      <c r="L32" s="9">
        <f t="shared" si="1"/>
        <v>0.51296291337414002</v>
      </c>
      <c r="M32" s="9">
        <f t="shared" si="1"/>
        <v>0.52481831922678301</v>
      </c>
      <c r="N32" s="9">
        <f t="shared" si="1"/>
        <v>0.53623097093785499</v>
      </c>
      <c r="O32" s="9">
        <f t="shared" si="1"/>
        <v>0.54771924733822996</v>
      </c>
      <c r="P32" s="9">
        <f t="shared" si="1"/>
        <v>0.55791870239358399</v>
      </c>
      <c r="Q32" s="9">
        <f t="shared" si="1"/>
        <v>0.56857639103026403</v>
      </c>
      <c r="R32" s="8">
        <f>Q32-$Q$31</f>
        <v>5.1644297281024043E-2</v>
      </c>
      <c r="S32" s="8">
        <f>Q32-$Q$32</f>
        <v>0</v>
      </c>
    </row>
    <row r="33" spans="1:19" x14ac:dyDescent="0.35">
      <c r="A33" s="12" t="s">
        <v>41</v>
      </c>
      <c r="B33" s="9">
        <f>B14</f>
        <v>0.41365437093566998</v>
      </c>
      <c r="C33" s="9">
        <f t="shared" ref="C33:Q33" si="2">C14</f>
        <v>0.41973118165006601</v>
      </c>
      <c r="D33" s="9">
        <f t="shared" si="2"/>
        <v>0.42659269986614001</v>
      </c>
      <c r="E33" s="9">
        <f t="shared" si="2"/>
        <v>0.43569132855649401</v>
      </c>
      <c r="F33" s="9">
        <f t="shared" si="2"/>
        <v>0.44461460482324699</v>
      </c>
      <c r="G33" s="9">
        <f t="shared" si="2"/>
        <v>0.45518558477586502</v>
      </c>
      <c r="H33" s="9">
        <f t="shared" si="2"/>
        <v>0.46681542852478902</v>
      </c>
      <c r="I33" s="9">
        <f t="shared" si="2"/>
        <v>0.47958506357282499</v>
      </c>
      <c r="J33" s="9">
        <f t="shared" si="2"/>
        <v>0.49237647127596401</v>
      </c>
      <c r="K33" s="9">
        <f t="shared" si="2"/>
        <v>0.50624638823628099</v>
      </c>
      <c r="L33" s="9">
        <f t="shared" si="2"/>
        <v>0.51886793427718003</v>
      </c>
      <c r="M33" s="9">
        <f t="shared" si="2"/>
        <v>0.53102145246126398</v>
      </c>
      <c r="N33" s="9">
        <f t="shared" si="2"/>
        <v>0.542649291429529</v>
      </c>
      <c r="O33" s="9">
        <f t="shared" si="2"/>
        <v>0.55409092785677205</v>
      </c>
      <c r="P33" s="9">
        <f t="shared" si="2"/>
        <v>0.56330854889473003</v>
      </c>
      <c r="Q33" s="9">
        <f t="shared" si="2"/>
        <v>0.57254755261015</v>
      </c>
      <c r="R33" s="8">
        <f>Q33-$Q$31</f>
        <v>5.5615458860910016E-2</v>
      </c>
      <c r="S33" s="8">
        <f>Q33-$Q$32</f>
        <v>3.9711615798859734E-3</v>
      </c>
    </row>
    <row r="34" spans="1:19" x14ac:dyDescent="0.35">
      <c r="A34" s="12" t="s">
        <v>29</v>
      </c>
      <c r="B34" s="9">
        <f>B16</f>
        <v>0.41365437093566998</v>
      </c>
      <c r="C34" s="9">
        <f t="shared" ref="C34:Q34" si="3">C16</f>
        <v>0.42012601280376299</v>
      </c>
      <c r="D34" s="9">
        <f t="shared" si="3"/>
        <v>0.42732127969289302</v>
      </c>
      <c r="E34" s="9">
        <f t="shared" si="3"/>
        <v>0.43678078059861403</v>
      </c>
      <c r="F34" s="9">
        <f t="shared" si="3"/>
        <v>0.44744352866903397</v>
      </c>
      <c r="G34" s="9">
        <f t="shared" si="3"/>
        <v>0.45869423331939202</v>
      </c>
      <c r="H34" s="9">
        <f t="shared" si="3"/>
        <v>0.46977388750639798</v>
      </c>
      <c r="I34" s="9">
        <f t="shared" si="3"/>
        <v>0.48311997111266702</v>
      </c>
      <c r="J34" s="9">
        <f t="shared" si="3"/>
        <v>0.49548958209113397</v>
      </c>
      <c r="K34" s="9">
        <f t="shared" si="3"/>
        <v>0.50776539964303802</v>
      </c>
      <c r="L34" s="9">
        <f t="shared" si="3"/>
        <v>0.52045190438215905</v>
      </c>
      <c r="M34" s="9">
        <f t="shared" si="3"/>
        <v>0.53292612601191702</v>
      </c>
      <c r="N34" s="9">
        <f t="shared" si="3"/>
        <v>0.54481573745413703</v>
      </c>
      <c r="O34" s="9">
        <f t="shared" si="3"/>
        <v>0.55550556349103897</v>
      </c>
      <c r="P34" s="9">
        <f t="shared" si="3"/>
        <v>0.56631269561738595</v>
      </c>
      <c r="Q34" s="9">
        <f t="shared" si="3"/>
        <v>0.57611942125072502</v>
      </c>
      <c r="R34" s="8">
        <f>Q34-$Q$31</f>
        <v>5.9187327501485032E-2</v>
      </c>
      <c r="S34" s="8">
        <f>Q34-$Q$32</f>
        <v>7.5430302204609889E-3</v>
      </c>
    </row>
    <row r="35" spans="1:19" x14ac:dyDescent="0.3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7"/>
      <c r="S35" s="7"/>
    </row>
    <row r="36" spans="1:19" x14ac:dyDescent="0.35">
      <c r="A36" s="7"/>
      <c r="B36" s="12">
        <v>2025</v>
      </c>
      <c r="C36" s="12">
        <v>2026</v>
      </c>
      <c r="D36" s="12">
        <v>2027</v>
      </c>
      <c r="E36" s="12">
        <v>2028</v>
      </c>
      <c r="F36" s="12">
        <v>2029</v>
      </c>
      <c r="G36" s="12">
        <v>2030</v>
      </c>
      <c r="H36" s="12">
        <v>2031</v>
      </c>
      <c r="I36" s="12">
        <v>2032</v>
      </c>
      <c r="J36" s="12">
        <v>2033</v>
      </c>
      <c r="K36" s="12">
        <v>2034</v>
      </c>
      <c r="L36" s="12">
        <v>2035</v>
      </c>
      <c r="M36" s="12">
        <v>2036</v>
      </c>
      <c r="N36" s="12">
        <v>2037</v>
      </c>
      <c r="O36" s="12">
        <v>2038</v>
      </c>
      <c r="P36" s="12">
        <v>2039</v>
      </c>
      <c r="Q36" s="12">
        <v>2040</v>
      </c>
      <c r="R36" s="12" t="s">
        <v>21</v>
      </c>
      <c r="S36" s="12" t="s">
        <v>22</v>
      </c>
    </row>
    <row r="37" spans="1:19" x14ac:dyDescent="0.35">
      <c r="A37" s="12" t="s">
        <v>7</v>
      </c>
      <c r="B37" s="9">
        <f>B11</f>
        <v>0.41365437093566998</v>
      </c>
      <c r="C37" s="9">
        <f t="shared" ref="C37:Q37" si="4">C11</f>
        <v>0.41950640351721002</v>
      </c>
      <c r="D37" s="9">
        <f t="shared" si="4"/>
        <v>0.42558174080866901</v>
      </c>
      <c r="E37" s="9">
        <f t="shared" si="4"/>
        <v>0.43325804956028602</v>
      </c>
      <c r="F37" s="9">
        <f t="shared" si="4"/>
        <v>0.44027738073693701</v>
      </c>
      <c r="G37" s="9">
        <f t="shared" si="4"/>
        <v>0.447518723617157</v>
      </c>
      <c r="H37" s="9">
        <f t="shared" si="4"/>
        <v>0.45489425287497298</v>
      </c>
      <c r="I37" s="9">
        <f t="shared" si="4"/>
        <v>0.46421862728925201</v>
      </c>
      <c r="J37" s="9">
        <f t="shared" si="4"/>
        <v>0.47237924122522001</v>
      </c>
      <c r="K37" s="9">
        <f t="shared" si="4"/>
        <v>0.48644591715365199</v>
      </c>
      <c r="L37" s="9">
        <f t="shared" si="4"/>
        <v>0.49774797393735598</v>
      </c>
      <c r="M37" s="9">
        <f t="shared" si="4"/>
        <v>0.50406175674051201</v>
      </c>
      <c r="N37" s="9">
        <f t="shared" si="4"/>
        <v>0.51061827635558898</v>
      </c>
      <c r="O37" s="9">
        <f t="shared" si="4"/>
        <v>0.51717374817815698</v>
      </c>
      <c r="P37" s="9">
        <f t="shared" si="4"/>
        <v>0.52318437622835601</v>
      </c>
      <c r="Q37" s="9">
        <f t="shared" si="4"/>
        <v>0.52864043241071001</v>
      </c>
      <c r="R37" s="8">
        <f>Q37-$Q$37</f>
        <v>0</v>
      </c>
      <c r="S37" s="7"/>
    </row>
    <row r="38" spans="1:19" x14ac:dyDescent="0.35">
      <c r="A38" s="12" t="s">
        <v>36</v>
      </c>
      <c r="B38" s="9">
        <f>B13</f>
        <v>0.41365437093566998</v>
      </c>
      <c r="C38" s="9">
        <f t="shared" ref="C38:Q38" si="5">C13</f>
        <v>0.41973118165006601</v>
      </c>
      <c r="D38" s="9">
        <f t="shared" si="5"/>
        <v>0.42660989363873097</v>
      </c>
      <c r="E38" s="9">
        <f t="shared" si="5"/>
        <v>0.43539131587553898</v>
      </c>
      <c r="F38" s="9">
        <f t="shared" si="5"/>
        <v>0.44605422399851502</v>
      </c>
      <c r="G38" s="9">
        <f t="shared" si="5"/>
        <v>0.45555329332031003</v>
      </c>
      <c r="H38" s="9">
        <f t="shared" si="5"/>
        <v>0.46619364997199902</v>
      </c>
      <c r="I38" s="9">
        <f t="shared" si="5"/>
        <v>0.479408514913085</v>
      </c>
      <c r="J38" s="9">
        <f t="shared" si="5"/>
        <v>0.49123520434492701</v>
      </c>
      <c r="K38" s="9">
        <f t="shared" si="5"/>
        <v>0.51086013764645199</v>
      </c>
      <c r="L38" s="9">
        <f t="shared" si="5"/>
        <v>0.52650980482609799</v>
      </c>
      <c r="M38" s="9">
        <f t="shared" si="5"/>
        <v>0.53674910170967605</v>
      </c>
      <c r="N38" s="9">
        <f t="shared" si="5"/>
        <v>0.54875459746242905</v>
      </c>
      <c r="O38" s="9">
        <f t="shared" si="5"/>
        <v>0.559368046257121</v>
      </c>
      <c r="P38" s="9">
        <f t="shared" si="5"/>
        <v>0.56941050509325697</v>
      </c>
      <c r="Q38" s="9">
        <f t="shared" si="5"/>
        <v>0.57918089507026005</v>
      </c>
      <c r="R38" s="8">
        <f>Q38-$Q$37</f>
        <v>5.0540462659550034E-2</v>
      </c>
      <c r="S38" s="8">
        <f>Q38-$Q$38</f>
        <v>0</v>
      </c>
    </row>
    <row r="39" spans="1:19" x14ac:dyDescent="0.35">
      <c r="A39" s="12" t="s">
        <v>42</v>
      </c>
      <c r="B39" s="9">
        <f>B15</f>
        <v>0.41365437093566998</v>
      </c>
      <c r="C39" s="9">
        <f t="shared" ref="C39:Q39" si="6">C15</f>
        <v>0.41973118165006601</v>
      </c>
      <c r="D39" s="9">
        <f t="shared" si="6"/>
        <v>0.42660989363873097</v>
      </c>
      <c r="E39" s="9">
        <f t="shared" si="6"/>
        <v>0.43539131587553898</v>
      </c>
      <c r="F39" s="9">
        <f t="shared" si="6"/>
        <v>0.44605422399851502</v>
      </c>
      <c r="G39" s="9">
        <f t="shared" si="6"/>
        <v>0.45555329332031003</v>
      </c>
      <c r="H39" s="9">
        <f t="shared" si="6"/>
        <v>0.46714768201892698</v>
      </c>
      <c r="I39" s="9">
        <f t="shared" si="6"/>
        <v>0.48083837417915098</v>
      </c>
      <c r="J39" s="9">
        <f t="shared" si="6"/>
        <v>0.49453538964277799</v>
      </c>
      <c r="K39" s="9">
        <f t="shared" si="6"/>
        <v>0.51540810080487698</v>
      </c>
      <c r="L39" s="9">
        <f t="shared" si="6"/>
        <v>0.53095193932078</v>
      </c>
      <c r="M39" s="9">
        <f t="shared" si="6"/>
        <v>0.54194839040411003</v>
      </c>
      <c r="N39" s="9">
        <f t="shared" si="6"/>
        <v>0.55318614628984797</v>
      </c>
      <c r="O39" s="9">
        <f t="shared" si="6"/>
        <v>0.56323968630531396</v>
      </c>
      <c r="P39" s="9">
        <f t="shared" si="6"/>
        <v>0.57313915182558295</v>
      </c>
      <c r="Q39" s="9">
        <f t="shared" si="6"/>
        <v>0.58200600380957201</v>
      </c>
      <c r="R39" s="8">
        <f t="shared" ref="R39:R40" si="7">Q39-$Q$37</f>
        <v>5.3365571398862E-2</v>
      </c>
      <c r="S39" s="8">
        <f>Q39-$Q$38</f>
        <v>2.8251087393119656E-3</v>
      </c>
    </row>
    <row r="40" spans="1:19" x14ac:dyDescent="0.35">
      <c r="A40" s="12" t="s">
        <v>30</v>
      </c>
      <c r="B40" s="9">
        <f>B17</f>
        <v>0.41365437093566998</v>
      </c>
      <c r="C40" s="9">
        <f t="shared" ref="C40:Q40" si="8">C17</f>
        <v>0.42012601280376299</v>
      </c>
      <c r="D40" s="9">
        <f t="shared" si="8"/>
        <v>0.42738328486080701</v>
      </c>
      <c r="E40" s="9">
        <f t="shared" si="8"/>
        <v>0.43711066287926997</v>
      </c>
      <c r="F40" s="9">
        <f t="shared" si="8"/>
        <v>0.44757498827622499</v>
      </c>
      <c r="G40" s="9">
        <f t="shared" si="8"/>
        <v>0.45858227455707401</v>
      </c>
      <c r="H40" s="9">
        <f t="shared" si="8"/>
        <v>0.47051444862908898</v>
      </c>
      <c r="I40" s="9">
        <f t="shared" si="8"/>
        <v>0.48458830865449498</v>
      </c>
      <c r="J40" s="9">
        <f t="shared" si="8"/>
        <v>0.49823397043539702</v>
      </c>
      <c r="K40" s="9">
        <f t="shared" si="8"/>
        <v>0.51775144866794298</v>
      </c>
      <c r="L40" s="9">
        <f t="shared" si="8"/>
        <v>0.53328882709250502</v>
      </c>
      <c r="M40" s="9">
        <f t="shared" si="8"/>
        <v>0.54448183524655702</v>
      </c>
      <c r="N40" s="9">
        <f t="shared" si="8"/>
        <v>0.55577050329434796</v>
      </c>
      <c r="O40" s="9">
        <f t="shared" si="8"/>
        <v>0.56721341508973999</v>
      </c>
      <c r="P40" s="9">
        <f t="shared" si="8"/>
        <v>0.57757298717871997</v>
      </c>
      <c r="Q40" s="9">
        <f t="shared" si="8"/>
        <v>0.58711557350279997</v>
      </c>
      <c r="R40" s="8">
        <f t="shared" si="7"/>
        <v>5.8475141092089955E-2</v>
      </c>
      <c r="S40" s="8">
        <f>Q40-$Q$38</f>
        <v>7.9346784325399211E-3</v>
      </c>
    </row>
    <row r="41" spans="1:19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5">
      <c r="A42" s="18" t="s">
        <v>20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7"/>
      <c r="S42" s="7"/>
    </row>
    <row r="43" spans="1:19" x14ac:dyDescent="0.35">
      <c r="A43" s="12" t="s">
        <v>7</v>
      </c>
      <c r="B43" s="8">
        <f t="shared" ref="B43:Q43" si="9">B37-B31</f>
        <v>0</v>
      </c>
      <c r="C43" s="8">
        <f t="shared" si="9"/>
        <v>0</v>
      </c>
      <c r="D43" s="8">
        <f t="shared" si="9"/>
        <v>3.1495278618798306E-4</v>
      </c>
      <c r="E43" s="8">
        <f t="shared" si="9"/>
        <v>-6.2531114930985954E-5</v>
      </c>
      <c r="F43" s="8">
        <f t="shared" si="9"/>
        <v>6.6693191138800234E-4</v>
      </c>
      <c r="G43" s="8">
        <f t="shared" si="9"/>
        <v>3.6243270105701386E-4</v>
      </c>
      <c r="H43" s="8">
        <f t="shared" si="9"/>
        <v>8.5266270607298189E-4</v>
      </c>
      <c r="I43" s="8">
        <f t="shared" si="9"/>
        <v>2.8013083917000081E-3</v>
      </c>
      <c r="J43" s="8">
        <f t="shared" si="9"/>
        <v>3.3602547699880247E-3</v>
      </c>
      <c r="K43" s="8">
        <f t="shared" si="9"/>
        <v>1.0294232551101012E-2</v>
      </c>
      <c r="L43" s="8">
        <f t="shared" si="9"/>
        <v>1.3781057361725968E-2</v>
      </c>
      <c r="M43" s="8">
        <f t="shared" si="9"/>
        <v>1.2922475060987038E-2</v>
      </c>
      <c r="N43" s="8">
        <f t="shared" si="9"/>
        <v>1.313136952025501E-2</v>
      </c>
      <c r="O43" s="8">
        <f t="shared" si="9"/>
        <v>1.2999360987118957E-2</v>
      </c>
      <c r="P43" s="8">
        <f t="shared" si="9"/>
        <v>1.2481654225155014E-2</v>
      </c>
      <c r="Q43" s="8">
        <f t="shared" si="9"/>
        <v>1.170833866147003E-2</v>
      </c>
      <c r="R43" s="7"/>
      <c r="S43" s="7"/>
    </row>
    <row r="44" spans="1:19" x14ac:dyDescent="0.35">
      <c r="A44" s="12" t="s">
        <v>36</v>
      </c>
      <c r="B44" s="8">
        <f t="shared" ref="B44:Q46" si="10">B38-B32</f>
        <v>0</v>
      </c>
      <c r="C44" s="8">
        <f t="shared" si="10"/>
        <v>0</v>
      </c>
      <c r="D44" s="8">
        <f t="shared" si="10"/>
        <v>1.7193772590962109E-5</v>
      </c>
      <c r="E44" s="8">
        <f t="shared" si="10"/>
        <v>-3.0001268095503075E-4</v>
      </c>
      <c r="F44" s="8">
        <f t="shared" si="10"/>
        <v>1.4396191752680254E-3</v>
      </c>
      <c r="G44" s="8">
        <f t="shared" si="10"/>
        <v>3.6770854444501122E-4</v>
      </c>
      <c r="H44" s="8">
        <f t="shared" si="10"/>
        <v>2.3820390972500993E-4</v>
      </c>
      <c r="I44" s="8">
        <f t="shared" si="10"/>
        <v>1.4584966971449842E-3</v>
      </c>
      <c r="J44" s="8">
        <f t="shared" si="10"/>
        <v>2.3239317994490083E-3</v>
      </c>
      <c r="K44" s="8">
        <f t="shared" si="10"/>
        <v>9.919526201446982E-3</v>
      </c>
      <c r="L44" s="8">
        <f t="shared" si="10"/>
        <v>1.3546891451957976E-2</v>
      </c>
      <c r="M44" s="8">
        <f t="shared" si="10"/>
        <v>1.1930782482893032E-2</v>
      </c>
      <c r="N44" s="8">
        <f t="shared" si="10"/>
        <v>1.2523626524574061E-2</v>
      </c>
      <c r="O44" s="8">
        <f t="shared" si="10"/>
        <v>1.1648798918891035E-2</v>
      </c>
      <c r="P44" s="8">
        <f t="shared" si="10"/>
        <v>1.1491802699672982E-2</v>
      </c>
      <c r="Q44" s="8">
        <f t="shared" si="10"/>
        <v>1.0604504039996021E-2</v>
      </c>
      <c r="R44" s="7"/>
      <c r="S44" s="7"/>
    </row>
    <row r="45" spans="1:19" x14ac:dyDescent="0.35">
      <c r="A45" s="12" t="s">
        <v>42</v>
      </c>
      <c r="B45" s="8">
        <f t="shared" si="10"/>
        <v>0</v>
      </c>
      <c r="C45" s="8">
        <f t="shared" si="10"/>
        <v>0</v>
      </c>
      <c r="D45" s="8">
        <f t="shared" si="10"/>
        <v>1.7193772590962109E-5</v>
      </c>
      <c r="E45" s="8">
        <f t="shared" si="10"/>
        <v>-3.0001268095503075E-4</v>
      </c>
      <c r="F45" s="8">
        <f t="shared" si="10"/>
        <v>1.4396191752680254E-3</v>
      </c>
      <c r="G45" s="8">
        <f t="shared" si="10"/>
        <v>3.6770854444501122E-4</v>
      </c>
      <c r="H45" s="8">
        <f t="shared" si="10"/>
        <v>3.3225349413795735E-4</v>
      </c>
      <c r="I45" s="8">
        <f t="shared" si="10"/>
        <v>1.2533106063259969E-3</v>
      </c>
      <c r="J45" s="8">
        <f t="shared" si="10"/>
        <v>2.1589183668139778E-3</v>
      </c>
      <c r="K45" s="8">
        <f t="shared" si="10"/>
        <v>9.1617125685959921E-3</v>
      </c>
      <c r="L45" s="8">
        <f t="shared" si="10"/>
        <v>1.2084005043599966E-2</v>
      </c>
      <c r="M45" s="8">
        <f t="shared" si="10"/>
        <v>1.0926937942846049E-2</v>
      </c>
      <c r="N45" s="8">
        <f t="shared" si="10"/>
        <v>1.0536854860318967E-2</v>
      </c>
      <c r="O45" s="8">
        <f t="shared" si="10"/>
        <v>9.1487584485419049E-3</v>
      </c>
      <c r="P45" s="8">
        <f t="shared" si="10"/>
        <v>9.8306029308529164E-3</v>
      </c>
      <c r="Q45" s="8">
        <f t="shared" si="10"/>
        <v>9.4584511994220133E-3</v>
      </c>
      <c r="R45" s="7"/>
      <c r="S45" s="7"/>
    </row>
    <row r="46" spans="1:19" x14ac:dyDescent="0.35">
      <c r="A46" s="12" t="s">
        <v>30</v>
      </c>
      <c r="B46" s="8">
        <f t="shared" si="10"/>
        <v>0</v>
      </c>
      <c r="C46" s="8">
        <f t="shared" si="10"/>
        <v>0</v>
      </c>
      <c r="D46" s="8">
        <f t="shared" si="10"/>
        <v>6.2005167913992132E-5</v>
      </c>
      <c r="E46" s="8">
        <f t="shared" si="10"/>
        <v>3.2988228065594649E-4</v>
      </c>
      <c r="F46" s="8">
        <f t="shared" si="10"/>
        <v>1.3145960719102012E-4</v>
      </c>
      <c r="G46" s="8">
        <f t="shared" si="10"/>
        <v>-1.1195876231800961E-4</v>
      </c>
      <c r="H46" s="8">
        <f t="shared" si="10"/>
        <v>7.4056112269099694E-4</v>
      </c>
      <c r="I46" s="8">
        <f t="shared" si="10"/>
        <v>1.4683375418279576E-3</v>
      </c>
      <c r="J46" s="8">
        <f t="shared" si="10"/>
        <v>2.744388344263049E-3</v>
      </c>
      <c r="K46" s="8">
        <f t="shared" si="10"/>
        <v>9.9860490249049638E-3</v>
      </c>
      <c r="L46" s="8">
        <f t="shared" si="10"/>
        <v>1.2836922710345977E-2</v>
      </c>
      <c r="M46" s="8">
        <f t="shared" si="10"/>
        <v>1.1555709234639999E-2</v>
      </c>
      <c r="N46" s="8">
        <f t="shared" si="10"/>
        <v>1.0954765840210934E-2</v>
      </c>
      <c r="O46" s="8">
        <f t="shared" si="10"/>
        <v>1.1707851598701025E-2</v>
      </c>
      <c r="P46" s="8">
        <f t="shared" si="10"/>
        <v>1.1260291561334013E-2</v>
      </c>
      <c r="Q46" s="8">
        <f t="shared" si="10"/>
        <v>1.0996152252074953E-2</v>
      </c>
      <c r="R46" s="7"/>
      <c r="S46" s="7"/>
    </row>
    <row r="47" spans="1:19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9" x14ac:dyDescent="0.35">
      <c r="A49" s="17" t="s">
        <v>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x14ac:dyDescent="0.35">
      <c r="A51" s="5"/>
      <c r="B51" s="11">
        <v>2025</v>
      </c>
      <c r="C51" s="11">
        <v>2026</v>
      </c>
      <c r="D51" s="11">
        <v>2027</v>
      </c>
      <c r="E51" s="11">
        <v>2028</v>
      </c>
      <c r="F51" s="11">
        <v>2029</v>
      </c>
      <c r="G51" s="11">
        <v>2030</v>
      </c>
      <c r="H51" s="11">
        <v>2031</v>
      </c>
      <c r="I51" s="11">
        <v>2032</v>
      </c>
      <c r="J51" s="11">
        <v>2033</v>
      </c>
      <c r="K51" s="11">
        <v>2034</v>
      </c>
      <c r="L51" s="11">
        <v>2035</v>
      </c>
      <c r="M51" s="11">
        <v>2036</v>
      </c>
      <c r="N51" s="11">
        <v>2037</v>
      </c>
      <c r="O51" s="11">
        <v>2038</v>
      </c>
      <c r="P51" s="11">
        <v>2039</v>
      </c>
      <c r="Q51" s="11">
        <v>2040</v>
      </c>
      <c r="R51" s="11" t="s">
        <v>21</v>
      </c>
      <c r="S51" s="11" t="s">
        <v>22</v>
      </c>
    </row>
    <row r="52" spans="1:19" x14ac:dyDescent="0.35">
      <c r="A52" s="11" t="s">
        <v>10</v>
      </c>
      <c r="B52" s="6">
        <f>B18</f>
        <v>0.41442862634430599</v>
      </c>
      <c r="C52" s="6">
        <f t="shared" ref="C52:Q52" si="11">C18</f>
        <v>0.42056384648655498</v>
      </c>
      <c r="D52" s="6">
        <f t="shared" si="11"/>
        <v>0.42743447156233999</v>
      </c>
      <c r="E52" s="6">
        <f t="shared" si="11"/>
        <v>0.43402148050239697</v>
      </c>
      <c r="F52" s="6">
        <f t="shared" si="11"/>
        <v>0.44151311624668699</v>
      </c>
      <c r="G52" s="6">
        <f t="shared" si="11"/>
        <v>0.44818230168810802</v>
      </c>
      <c r="H52" s="6">
        <f t="shared" si="11"/>
        <v>0.45535298070505598</v>
      </c>
      <c r="I52" s="6">
        <f t="shared" si="11"/>
        <v>0.46325725452744199</v>
      </c>
      <c r="J52" s="6">
        <f t="shared" si="11"/>
        <v>0.47063755986025202</v>
      </c>
      <c r="K52" s="6">
        <f t="shared" si="11"/>
        <v>0.47823762612883097</v>
      </c>
      <c r="L52" s="6">
        <f t="shared" si="11"/>
        <v>0.48721851606779998</v>
      </c>
      <c r="M52" s="6">
        <f t="shared" si="11"/>
        <v>0.49525986982148201</v>
      </c>
      <c r="N52" s="6">
        <f t="shared" si="11"/>
        <v>0.50313928794532203</v>
      </c>
      <c r="O52" s="6">
        <f t="shared" si="11"/>
        <v>0.510728055744052</v>
      </c>
      <c r="P52" s="6">
        <f t="shared" si="11"/>
        <v>0.51768909516162098</v>
      </c>
      <c r="Q52" s="6">
        <f t="shared" si="11"/>
        <v>0.52576900482897804</v>
      </c>
      <c r="R52" s="10">
        <f>Q52-$Q$52</f>
        <v>0</v>
      </c>
      <c r="S52" s="11"/>
    </row>
    <row r="53" spans="1:19" x14ac:dyDescent="0.35">
      <c r="A53" s="11" t="s">
        <v>39</v>
      </c>
      <c r="B53" s="6">
        <f>B20</f>
        <v>0.41442862634430599</v>
      </c>
      <c r="C53" s="6">
        <f t="shared" ref="C53:Q53" si="12">C20</f>
        <v>0.42113940376411602</v>
      </c>
      <c r="D53" s="6">
        <f t="shared" si="12"/>
        <v>0.42830279755221801</v>
      </c>
      <c r="E53" s="6">
        <f t="shared" si="12"/>
        <v>0.43716175193984402</v>
      </c>
      <c r="F53" s="6">
        <f t="shared" si="12"/>
        <v>0.446931946047183</v>
      </c>
      <c r="G53" s="6">
        <f t="shared" si="12"/>
        <v>0.45729986984348198</v>
      </c>
      <c r="H53" s="6">
        <f t="shared" si="12"/>
        <v>0.467272435613026</v>
      </c>
      <c r="I53" s="6">
        <f t="shared" si="12"/>
        <v>0.47811522526455402</v>
      </c>
      <c r="J53" s="6">
        <f t="shared" si="12"/>
        <v>0.49144363683111603</v>
      </c>
      <c r="K53" s="6">
        <f t="shared" si="12"/>
        <v>0.50409639629134995</v>
      </c>
      <c r="L53" s="6">
        <f t="shared" si="12"/>
        <v>0.516762289683524</v>
      </c>
      <c r="M53" s="6">
        <f t="shared" si="12"/>
        <v>0.52948679271496601</v>
      </c>
      <c r="N53" s="6">
        <f t="shared" si="12"/>
        <v>0.54341922152292599</v>
      </c>
      <c r="O53" s="6">
        <f t="shared" si="12"/>
        <v>0.55613792845741095</v>
      </c>
      <c r="P53" s="6">
        <f t="shared" si="12"/>
        <v>0.56858442864165804</v>
      </c>
      <c r="Q53" s="6">
        <f t="shared" si="12"/>
        <v>0.58215376730077795</v>
      </c>
      <c r="R53" s="10">
        <f>Q53-$Q$52</f>
        <v>5.638476247179991E-2</v>
      </c>
      <c r="S53" s="10">
        <f>Q53-$Q$53</f>
        <v>0</v>
      </c>
    </row>
    <row r="54" spans="1:19" x14ac:dyDescent="0.35">
      <c r="A54" s="11" t="s">
        <v>45</v>
      </c>
      <c r="B54" s="6">
        <f>B22</f>
        <v>0.41442862634430599</v>
      </c>
      <c r="C54" s="6">
        <f t="shared" ref="C54:Q54" si="13">C22</f>
        <v>0.42113940376411602</v>
      </c>
      <c r="D54" s="6">
        <f t="shared" si="13"/>
        <v>0.42830279755221801</v>
      </c>
      <c r="E54" s="6">
        <f t="shared" si="13"/>
        <v>0.43716175193984402</v>
      </c>
      <c r="F54" s="6">
        <f t="shared" si="13"/>
        <v>0.446931946047183</v>
      </c>
      <c r="G54" s="6">
        <f t="shared" si="13"/>
        <v>0.45729986984348198</v>
      </c>
      <c r="H54" s="6">
        <f t="shared" si="13"/>
        <v>0.46842057905913898</v>
      </c>
      <c r="I54" s="6">
        <f t="shared" si="13"/>
        <v>0.47901968300958297</v>
      </c>
      <c r="J54" s="6">
        <f t="shared" si="13"/>
        <v>0.49352585043105901</v>
      </c>
      <c r="K54" s="6">
        <f t="shared" si="13"/>
        <v>0.50848256437438399</v>
      </c>
      <c r="L54" s="6">
        <f t="shared" si="13"/>
        <v>0.52252570086361205</v>
      </c>
      <c r="M54" s="6">
        <f t="shared" si="13"/>
        <v>0.53675148075853596</v>
      </c>
      <c r="N54" s="6">
        <f t="shared" si="13"/>
        <v>0.54935014486172695</v>
      </c>
      <c r="O54" s="6">
        <f t="shared" si="13"/>
        <v>0.56155142686019499</v>
      </c>
      <c r="P54" s="6">
        <f t="shared" si="13"/>
        <v>0.57345287261114997</v>
      </c>
      <c r="Q54" s="6">
        <f t="shared" si="13"/>
        <v>0.58705488572318798</v>
      </c>
      <c r="R54" s="10">
        <f>Q54-$Q$52</f>
        <v>6.1285880894209943E-2</v>
      </c>
      <c r="S54" s="10">
        <f>Q54-$Q$53</f>
        <v>4.9011184224100335E-3</v>
      </c>
    </row>
    <row r="55" spans="1:19" x14ac:dyDescent="0.35">
      <c r="A55" s="11" t="s">
        <v>33</v>
      </c>
      <c r="B55" s="6">
        <f>B24</f>
        <v>0.41442862634430599</v>
      </c>
      <c r="C55" s="6">
        <f t="shared" ref="C55:Q55" si="14">C24</f>
        <v>0.42124143259499203</v>
      </c>
      <c r="D55" s="6">
        <f t="shared" si="14"/>
        <v>0.42965800251397701</v>
      </c>
      <c r="E55" s="6">
        <f t="shared" si="14"/>
        <v>0.43972677979999197</v>
      </c>
      <c r="F55" s="6">
        <f t="shared" si="14"/>
        <v>0.45050119370143299</v>
      </c>
      <c r="G55" s="6">
        <f t="shared" si="14"/>
        <v>0.46245649428229801</v>
      </c>
      <c r="H55" s="6">
        <f t="shared" si="14"/>
        <v>0.47349323211849198</v>
      </c>
      <c r="I55" s="6">
        <f t="shared" si="14"/>
        <v>0.48600846438503298</v>
      </c>
      <c r="J55" s="6">
        <f t="shared" si="14"/>
        <v>0.50007246954002305</v>
      </c>
      <c r="K55" s="6">
        <f t="shared" si="14"/>
        <v>0.51387713717033701</v>
      </c>
      <c r="L55" s="6">
        <f t="shared" si="14"/>
        <v>0.52780391818803496</v>
      </c>
      <c r="M55" s="6">
        <f t="shared" si="14"/>
        <v>0.54170140336351502</v>
      </c>
      <c r="N55" s="6">
        <f t="shared" si="14"/>
        <v>0.55552606138996896</v>
      </c>
      <c r="O55" s="6">
        <f t="shared" si="14"/>
        <v>0.56885476103170896</v>
      </c>
      <c r="P55" s="6">
        <f t="shared" si="14"/>
        <v>0.58074949846153201</v>
      </c>
      <c r="Q55" s="6">
        <f t="shared" si="14"/>
        <v>0.595535554603429</v>
      </c>
      <c r="R55" s="10">
        <f>Q55-$Q$52</f>
        <v>6.9766549774450959E-2</v>
      </c>
      <c r="S55" s="10">
        <f>Q55-$Q$53</f>
        <v>1.3381787302651049E-2</v>
      </c>
    </row>
    <row r="56" spans="1:19" x14ac:dyDescent="0.35">
      <c r="A56" s="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5"/>
      <c r="S56" s="5"/>
    </row>
    <row r="57" spans="1:19" x14ac:dyDescent="0.35">
      <c r="A57" s="5"/>
      <c r="B57" s="11">
        <v>2025</v>
      </c>
      <c r="C57" s="11">
        <v>2026</v>
      </c>
      <c r="D57" s="11">
        <v>2027</v>
      </c>
      <c r="E57" s="11">
        <v>2028</v>
      </c>
      <c r="F57" s="11">
        <v>2029</v>
      </c>
      <c r="G57" s="11">
        <v>2030</v>
      </c>
      <c r="H57" s="11">
        <v>2031</v>
      </c>
      <c r="I57" s="11">
        <v>2032</v>
      </c>
      <c r="J57" s="11">
        <v>2033</v>
      </c>
      <c r="K57" s="11">
        <v>2034</v>
      </c>
      <c r="L57" s="11">
        <v>2035</v>
      </c>
      <c r="M57" s="11">
        <v>2036</v>
      </c>
      <c r="N57" s="11">
        <v>2037</v>
      </c>
      <c r="O57" s="11">
        <v>2038</v>
      </c>
      <c r="P57" s="11">
        <v>2039</v>
      </c>
      <c r="Q57" s="11">
        <v>2040</v>
      </c>
      <c r="R57" s="11" t="s">
        <v>21</v>
      </c>
      <c r="S57" s="11" t="s">
        <v>22</v>
      </c>
    </row>
    <row r="58" spans="1:19" x14ac:dyDescent="0.35">
      <c r="A58" s="11" t="s">
        <v>11</v>
      </c>
      <c r="B58" s="6">
        <f>B19</f>
        <v>0.41442862634430599</v>
      </c>
      <c r="C58" s="6">
        <f t="shared" ref="C58:Q58" si="15">C19</f>
        <v>0.42056384648655498</v>
      </c>
      <c r="D58" s="6">
        <f t="shared" si="15"/>
        <v>0.42727051251065901</v>
      </c>
      <c r="E58" s="6">
        <f t="shared" si="15"/>
        <v>0.43407237818203798</v>
      </c>
      <c r="F58" s="6">
        <f t="shared" si="15"/>
        <v>0.442524412147208</v>
      </c>
      <c r="G58" s="6">
        <f t="shared" si="15"/>
        <v>0.44979652516123703</v>
      </c>
      <c r="H58" s="6">
        <f t="shared" si="15"/>
        <v>0.457351529209646</v>
      </c>
      <c r="I58" s="6">
        <f t="shared" si="15"/>
        <v>0.46653257383256003</v>
      </c>
      <c r="J58" s="6">
        <f t="shared" si="15"/>
        <v>0.47418267989435497</v>
      </c>
      <c r="K58" s="6">
        <f t="shared" si="15"/>
        <v>0.48967026724841001</v>
      </c>
      <c r="L58" s="6">
        <f t="shared" si="15"/>
        <v>0.50191410177117901</v>
      </c>
      <c r="M58" s="6">
        <f t="shared" si="15"/>
        <v>0.51018215149930501</v>
      </c>
      <c r="N58" s="6">
        <f t="shared" si="15"/>
        <v>0.51703860245811994</v>
      </c>
      <c r="O58" s="6">
        <f t="shared" si="15"/>
        <v>0.524224860762042</v>
      </c>
      <c r="P58" s="6">
        <f t="shared" si="15"/>
        <v>0.53128304421498096</v>
      </c>
      <c r="Q58" s="6">
        <f t="shared" si="15"/>
        <v>0.53828343703134995</v>
      </c>
      <c r="R58" s="10">
        <f>Q58-$Q$58</f>
        <v>0</v>
      </c>
      <c r="S58" s="5"/>
    </row>
    <row r="59" spans="1:19" x14ac:dyDescent="0.35">
      <c r="A59" s="11" t="s">
        <v>40</v>
      </c>
      <c r="B59" s="6">
        <f>B21</f>
        <v>0.41442862634430599</v>
      </c>
      <c r="C59" s="6">
        <f t="shared" ref="C59:Q59" si="16">C21</f>
        <v>0.42113940376411602</v>
      </c>
      <c r="D59" s="6">
        <f t="shared" si="16"/>
        <v>0.428307791326278</v>
      </c>
      <c r="E59" s="6">
        <f t="shared" si="16"/>
        <v>0.43749380992980103</v>
      </c>
      <c r="F59" s="6">
        <f t="shared" si="16"/>
        <v>0.44777596718789803</v>
      </c>
      <c r="G59" s="6">
        <f t="shared" si="16"/>
        <v>0.45760099985262298</v>
      </c>
      <c r="H59" s="6">
        <f t="shared" si="16"/>
        <v>0.46890332208569901</v>
      </c>
      <c r="I59" s="6">
        <f t="shared" si="16"/>
        <v>0.481320544395345</v>
      </c>
      <c r="J59" s="6">
        <f t="shared" si="16"/>
        <v>0.49350687247497899</v>
      </c>
      <c r="K59" s="6">
        <f t="shared" si="16"/>
        <v>0.51422221734520701</v>
      </c>
      <c r="L59" s="6">
        <f t="shared" si="16"/>
        <v>0.53037693812079201</v>
      </c>
      <c r="M59" s="6">
        <f t="shared" si="16"/>
        <v>0.54266881189051497</v>
      </c>
      <c r="N59" s="6">
        <f t="shared" si="16"/>
        <v>0.55480326120336498</v>
      </c>
      <c r="O59" s="6">
        <f t="shared" si="16"/>
        <v>0.56691307096779997</v>
      </c>
      <c r="P59" s="6">
        <f t="shared" si="16"/>
        <v>0.57849772624231499</v>
      </c>
      <c r="Q59" s="6">
        <f t="shared" si="16"/>
        <v>0.59234281072792705</v>
      </c>
      <c r="R59" s="10">
        <f>Q59-$Q$58</f>
        <v>5.4059373696577095E-2</v>
      </c>
      <c r="S59" s="10">
        <f>Q59-$Q$59</f>
        <v>0</v>
      </c>
    </row>
    <row r="60" spans="1:19" x14ac:dyDescent="0.35">
      <c r="A60" s="11" t="s">
        <v>46</v>
      </c>
      <c r="B60" s="6">
        <f>B23</f>
        <v>0.41442862634430599</v>
      </c>
      <c r="C60" s="6">
        <f t="shared" ref="C60:Q60" si="17">C23</f>
        <v>0.42113940376411602</v>
      </c>
      <c r="D60" s="6">
        <f t="shared" si="17"/>
        <v>0.428307791326278</v>
      </c>
      <c r="E60" s="6">
        <f t="shared" si="17"/>
        <v>0.43749380992980103</v>
      </c>
      <c r="F60" s="6">
        <f t="shared" si="17"/>
        <v>0.44777596718789803</v>
      </c>
      <c r="G60" s="6">
        <f t="shared" si="17"/>
        <v>0.45760099985262298</v>
      </c>
      <c r="H60" s="6">
        <f t="shared" si="17"/>
        <v>0.46951916669702398</v>
      </c>
      <c r="I60" s="6">
        <f t="shared" si="17"/>
        <v>0.48281268784209003</v>
      </c>
      <c r="J60" s="6">
        <f t="shared" si="17"/>
        <v>0.49759356601613602</v>
      </c>
      <c r="K60" s="6">
        <f t="shared" si="17"/>
        <v>0.52025096400370496</v>
      </c>
      <c r="L60" s="6">
        <f t="shared" si="17"/>
        <v>0.537842640289666</v>
      </c>
      <c r="M60" s="6">
        <f t="shared" si="17"/>
        <v>0.55065500998579597</v>
      </c>
      <c r="N60" s="6">
        <f t="shared" si="17"/>
        <v>0.56351929828865299</v>
      </c>
      <c r="O60" s="6">
        <f t="shared" si="17"/>
        <v>0.57564963256936996</v>
      </c>
      <c r="P60" s="6">
        <f t="shared" si="17"/>
        <v>0.58661784857923804</v>
      </c>
      <c r="Q60" s="6">
        <f t="shared" si="17"/>
        <v>0.598960299611768</v>
      </c>
      <c r="R60" s="10">
        <f t="shared" ref="R60:R61" si="18">Q60-$Q$58</f>
        <v>6.0676862580418045E-2</v>
      </c>
      <c r="S60" s="10">
        <f>Q60-$Q$59</f>
        <v>6.6174888838409496E-3</v>
      </c>
    </row>
    <row r="61" spans="1:19" x14ac:dyDescent="0.35">
      <c r="A61" s="11" t="s">
        <v>34</v>
      </c>
      <c r="B61" s="6">
        <f>B25</f>
        <v>0.41442862634430599</v>
      </c>
      <c r="C61" s="6">
        <f t="shared" ref="C61:Q61" si="19">C25</f>
        <v>0.42124143259499203</v>
      </c>
      <c r="D61" s="6">
        <f t="shared" si="19"/>
        <v>0.42974277766128299</v>
      </c>
      <c r="E61" s="6">
        <f t="shared" si="19"/>
        <v>0.43952252333976299</v>
      </c>
      <c r="F61" s="6">
        <f t="shared" si="19"/>
        <v>0.45058674093218598</v>
      </c>
      <c r="G61" s="6">
        <f t="shared" si="19"/>
        <v>0.461750277527748</v>
      </c>
      <c r="H61" s="6">
        <f t="shared" si="19"/>
        <v>0.47424945074286101</v>
      </c>
      <c r="I61" s="6">
        <f t="shared" si="19"/>
        <v>0.48805112787794203</v>
      </c>
      <c r="J61" s="6">
        <f t="shared" si="19"/>
        <v>0.50231885257422304</v>
      </c>
      <c r="K61" s="6">
        <f t="shared" si="19"/>
        <v>0.52394349145922403</v>
      </c>
      <c r="L61" s="6">
        <f t="shared" si="19"/>
        <v>0.54112066872634401</v>
      </c>
      <c r="M61" s="6">
        <f t="shared" si="19"/>
        <v>0.55461151979497603</v>
      </c>
      <c r="N61" s="6">
        <f t="shared" si="19"/>
        <v>0.566944487837995</v>
      </c>
      <c r="O61" s="6">
        <f t="shared" si="19"/>
        <v>0.57838372599314303</v>
      </c>
      <c r="P61" s="6">
        <f t="shared" si="19"/>
        <v>0.59183409972582701</v>
      </c>
      <c r="Q61" s="6">
        <f t="shared" si="19"/>
        <v>0.60551921362094996</v>
      </c>
      <c r="R61" s="10">
        <f t="shared" si="18"/>
        <v>6.7235776589600005E-2</v>
      </c>
      <c r="S61" s="10">
        <f>Q61-$Q$59</f>
        <v>1.3176402893022909E-2</v>
      </c>
    </row>
    <row r="62" spans="1:19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35">
      <c r="A63" s="19" t="s">
        <v>20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5"/>
      <c r="S63" s="5"/>
    </row>
    <row r="64" spans="1:19" x14ac:dyDescent="0.35">
      <c r="A64" s="11" t="s">
        <v>11</v>
      </c>
      <c r="B64" s="10">
        <f t="shared" ref="B64:Q64" si="20">B58-B52</f>
        <v>0</v>
      </c>
      <c r="C64" s="10">
        <f t="shared" si="20"/>
        <v>0</v>
      </c>
      <c r="D64" s="10">
        <f t="shared" si="20"/>
        <v>-1.6395905168098412E-4</v>
      </c>
      <c r="E64" s="10">
        <f t="shared" si="20"/>
        <v>5.0897679641004334E-5</v>
      </c>
      <c r="F64" s="10">
        <f t="shared" si="20"/>
        <v>1.0112959005210143E-3</v>
      </c>
      <c r="G64" s="10">
        <f t="shared" si="20"/>
        <v>1.6142234731290062E-3</v>
      </c>
      <c r="H64" s="10">
        <f t="shared" si="20"/>
        <v>1.9985485045900253E-3</v>
      </c>
      <c r="I64" s="10">
        <f t="shared" si="20"/>
        <v>3.2753193051180407E-3</v>
      </c>
      <c r="J64" s="10">
        <f t="shared" si="20"/>
        <v>3.5451200341029554E-3</v>
      </c>
      <c r="K64" s="10">
        <f t="shared" si="20"/>
        <v>1.1432641119579035E-2</v>
      </c>
      <c r="L64" s="10">
        <f t="shared" si="20"/>
        <v>1.4695585703379033E-2</v>
      </c>
      <c r="M64" s="10">
        <f t="shared" si="20"/>
        <v>1.4922281677823002E-2</v>
      </c>
      <c r="N64" s="10">
        <f t="shared" si="20"/>
        <v>1.3899314512797911E-2</v>
      </c>
      <c r="O64" s="10">
        <f t="shared" si="20"/>
        <v>1.3496805017989999E-2</v>
      </c>
      <c r="P64" s="10">
        <f t="shared" si="20"/>
        <v>1.3593949053359977E-2</v>
      </c>
      <c r="Q64" s="10">
        <f t="shared" si="20"/>
        <v>1.2514432202371917E-2</v>
      </c>
      <c r="R64" s="5"/>
      <c r="S64" s="5"/>
    </row>
    <row r="65" spans="1:19" x14ac:dyDescent="0.35">
      <c r="A65" s="11" t="s">
        <v>40</v>
      </c>
      <c r="B65" s="10">
        <f t="shared" ref="B65:Q65" si="21">B59-B53</f>
        <v>0</v>
      </c>
      <c r="C65" s="10">
        <f t="shared" si="21"/>
        <v>0</v>
      </c>
      <c r="D65" s="10">
        <f t="shared" si="21"/>
        <v>4.9937740599914626E-6</v>
      </c>
      <c r="E65" s="10">
        <f t="shared" si="21"/>
        <v>3.3205798995700198E-4</v>
      </c>
      <c r="F65" s="10">
        <f t="shared" si="21"/>
        <v>8.4402114071502332E-4</v>
      </c>
      <c r="G65" s="10">
        <f t="shared" si="21"/>
        <v>3.0113000914100407E-4</v>
      </c>
      <c r="H65" s="10">
        <f t="shared" si="21"/>
        <v>1.6308864726730099E-3</v>
      </c>
      <c r="I65" s="10">
        <f t="shared" si="21"/>
        <v>3.2053191307909734E-3</v>
      </c>
      <c r="J65" s="10">
        <f t="shared" si="21"/>
        <v>2.0632356438629595E-3</v>
      </c>
      <c r="K65" s="10">
        <f t="shared" si="21"/>
        <v>1.0125821053857065E-2</v>
      </c>
      <c r="L65" s="10">
        <f t="shared" si="21"/>
        <v>1.3614648437268007E-2</v>
      </c>
      <c r="M65" s="10">
        <f t="shared" si="21"/>
        <v>1.3182019175548954E-2</v>
      </c>
      <c r="N65" s="10">
        <f t="shared" si="21"/>
        <v>1.1384039680438995E-2</v>
      </c>
      <c r="O65" s="10">
        <f t="shared" si="21"/>
        <v>1.0775142510389024E-2</v>
      </c>
      <c r="P65" s="10">
        <f t="shared" si="21"/>
        <v>9.9132976006569562E-3</v>
      </c>
      <c r="Q65" s="10">
        <f t="shared" si="21"/>
        <v>1.0189043427149103E-2</v>
      </c>
      <c r="R65" s="5"/>
      <c r="S65" s="5"/>
    </row>
    <row r="66" spans="1:19" x14ac:dyDescent="0.35">
      <c r="A66" s="11" t="s">
        <v>46</v>
      </c>
      <c r="B66" s="10">
        <f t="shared" ref="B66:Q66" si="22">B60-B54</f>
        <v>0</v>
      </c>
      <c r="C66" s="10">
        <f t="shared" si="22"/>
        <v>0</v>
      </c>
      <c r="D66" s="10">
        <f t="shared" si="22"/>
        <v>4.9937740599914626E-6</v>
      </c>
      <c r="E66" s="10">
        <f t="shared" si="22"/>
        <v>3.3205798995700198E-4</v>
      </c>
      <c r="F66" s="10">
        <f t="shared" si="22"/>
        <v>8.4402114071502332E-4</v>
      </c>
      <c r="G66" s="10">
        <f t="shared" si="22"/>
        <v>3.0113000914100407E-4</v>
      </c>
      <c r="H66" s="10">
        <f t="shared" si="22"/>
        <v>1.0985876378850068E-3</v>
      </c>
      <c r="I66" s="10">
        <f t="shared" si="22"/>
        <v>3.793004832507052E-3</v>
      </c>
      <c r="J66" s="10">
        <f t="shared" si="22"/>
        <v>4.0677155850770141E-3</v>
      </c>
      <c r="K66" s="10">
        <f t="shared" si="22"/>
        <v>1.1768399629320969E-2</v>
      </c>
      <c r="L66" s="10">
        <f t="shared" si="22"/>
        <v>1.5316939426053944E-2</v>
      </c>
      <c r="M66" s="10">
        <f t="shared" si="22"/>
        <v>1.3903529227260014E-2</v>
      </c>
      <c r="N66" s="10">
        <f t="shared" si="22"/>
        <v>1.416915342692604E-2</v>
      </c>
      <c r="O66" s="10">
        <f t="shared" si="22"/>
        <v>1.4098205709174971E-2</v>
      </c>
      <c r="P66" s="10">
        <f t="shared" si="22"/>
        <v>1.3164975968088077E-2</v>
      </c>
      <c r="Q66" s="10">
        <f t="shared" si="22"/>
        <v>1.1905413888580019E-2</v>
      </c>
      <c r="R66" s="5"/>
      <c r="S66" s="5"/>
    </row>
    <row r="67" spans="1:19" x14ac:dyDescent="0.35">
      <c r="A67" s="11" t="s">
        <v>34</v>
      </c>
      <c r="B67" s="10">
        <f t="shared" ref="B67:P67" si="23">B61-B55</f>
        <v>0</v>
      </c>
      <c r="C67" s="10">
        <f t="shared" si="23"/>
        <v>0</v>
      </c>
      <c r="D67" s="10">
        <f t="shared" si="23"/>
        <v>8.4775147305982124E-5</v>
      </c>
      <c r="E67" s="10">
        <f t="shared" si="23"/>
        <v>-2.0425646022897981E-4</v>
      </c>
      <c r="F67" s="10">
        <f t="shared" si="23"/>
        <v>8.5547230752991421E-5</v>
      </c>
      <c r="G67" s="10">
        <f t="shared" si="23"/>
        <v>-7.0621675455001531E-4</v>
      </c>
      <c r="H67" s="10">
        <f t="shared" si="23"/>
        <v>7.5621862436903164E-4</v>
      </c>
      <c r="I67" s="10">
        <f t="shared" si="23"/>
        <v>2.042663492909047E-3</v>
      </c>
      <c r="J67" s="10">
        <f t="shared" si="23"/>
        <v>2.2463830341999946E-3</v>
      </c>
      <c r="K67" s="10">
        <f t="shared" si="23"/>
        <v>1.0066354288887025E-2</v>
      </c>
      <c r="L67" s="10">
        <f t="shared" si="23"/>
        <v>1.3316750538309052E-2</v>
      </c>
      <c r="M67" s="10">
        <f t="shared" si="23"/>
        <v>1.2910116431461005E-2</v>
      </c>
      <c r="N67" s="10">
        <f t="shared" si="23"/>
        <v>1.1418426448026042E-2</v>
      </c>
      <c r="O67" s="10">
        <f t="shared" si="23"/>
        <v>9.5289649614340721E-3</v>
      </c>
      <c r="P67" s="10">
        <f t="shared" si="23"/>
        <v>1.1084601264295002E-2</v>
      </c>
      <c r="Q67" s="10">
        <f>Q61-Q55</f>
        <v>9.9836590175209627E-3</v>
      </c>
      <c r="R67" s="5"/>
      <c r="S67" s="5"/>
    </row>
  </sheetData>
  <sortState xmlns:xlrd2="http://schemas.microsoft.com/office/spreadsheetml/2017/richdata2" ref="A10:Q25">
    <sortCondition ref="A9:A25"/>
  </sortState>
  <mergeCells count="4">
    <mergeCell ref="A28:S29"/>
    <mergeCell ref="A49:S50"/>
    <mergeCell ref="A42:Q42"/>
    <mergeCell ref="A63:Q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7283-F5CF-4050-A5DA-0EB6880CDCAB}">
  <dimension ref="A1:AH7"/>
  <sheetViews>
    <sheetView zoomScale="68" workbookViewId="0">
      <selection activeCell="V21" sqref="V21"/>
    </sheetView>
  </sheetViews>
  <sheetFormatPr defaultRowHeight="14.5" x14ac:dyDescent="0.35"/>
  <sheetData>
    <row r="1" spans="1:34" x14ac:dyDescent="0.35">
      <c r="A1" t="s">
        <v>25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</row>
    <row r="2" spans="1:34" x14ac:dyDescent="0.35">
      <c r="A2">
        <v>1</v>
      </c>
      <c r="B2" t="s">
        <v>27</v>
      </c>
      <c r="C2">
        <v>9.5583188299999993</v>
      </c>
      <c r="D2">
        <v>9.5583188299999993</v>
      </c>
      <c r="E2">
        <v>9.5583188299999993</v>
      </c>
      <c r="F2">
        <v>9.5583188299999993</v>
      </c>
      <c r="G2">
        <v>9.5583188299999993</v>
      </c>
      <c r="H2">
        <v>9.5583188299999993</v>
      </c>
      <c r="I2">
        <v>9.5583188299999993</v>
      </c>
      <c r="J2">
        <v>9.5583188299999993</v>
      </c>
      <c r="K2">
        <v>9.5583188299999993</v>
      </c>
      <c r="L2">
        <v>9.5583188299999993</v>
      </c>
      <c r="M2">
        <v>9.5583188299999993</v>
      </c>
      <c r="N2">
        <v>9.5583188299999993</v>
      </c>
      <c r="O2">
        <v>9.5583188299999993</v>
      </c>
      <c r="P2">
        <v>9.5583188299999993</v>
      </c>
      <c r="Q2">
        <v>9.5583188299999993</v>
      </c>
      <c r="R2">
        <v>9.5583188299999993</v>
      </c>
      <c r="S2">
        <v>9.5583188299999993</v>
      </c>
      <c r="T2">
        <v>9.5583188299999993</v>
      </c>
      <c r="U2">
        <v>9.5583188299999993</v>
      </c>
      <c r="V2">
        <v>9.5583188299999993</v>
      </c>
      <c r="W2">
        <v>9.5583188299999993</v>
      </c>
      <c r="X2">
        <v>9.5583188299999993</v>
      </c>
      <c r="Y2">
        <v>9.5583188299999993</v>
      </c>
      <c r="Z2">
        <v>9.5583188299999993</v>
      </c>
      <c r="AA2">
        <v>9.5583188299999993</v>
      </c>
      <c r="AB2">
        <v>9.5583188299999993</v>
      </c>
      <c r="AC2">
        <v>9.5583188299999993</v>
      </c>
      <c r="AD2">
        <v>9.5583188299999993</v>
      </c>
      <c r="AE2">
        <v>9.5583188299999993</v>
      </c>
      <c r="AF2">
        <v>9.5583188299999993</v>
      </c>
      <c r="AG2">
        <v>9.5583188299999993</v>
      </c>
      <c r="AH2">
        <v>9.5583188299999993</v>
      </c>
    </row>
    <row r="3" spans="1:34" x14ac:dyDescent="0.35">
      <c r="A3">
        <v>2</v>
      </c>
      <c r="B3">
        <v>2055</v>
      </c>
      <c r="C3">
        <v>4.1784924940000003</v>
      </c>
      <c r="D3">
        <v>4.1784924940000003</v>
      </c>
      <c r="E3">
        <v>4.3578200389999999</v>
      </c>
      <c r="F3">
        <v>4.5371475830000003</v>
      </c>
      <c r="G3">
        <v>4.7164751279999999</v>
      </c>
      <c r="H3">
        <v>4.8958026720000003</v>
      </c>
      <c r="I3">
        <v>5.0751302169999999</v>
      </c>
      <c r="J3">
        <v>5.2544577610000003</v>
      </c>
      <c r="K3">
        <v>5.4337853059999999</v>
      </c>
      <c r="L3">
        <v>5.6131128500000003</v>
      </c>
      <c r="M3">
        <v>5.7924403949999999</v>
      </c>
      <c r="N3">
        <v>5.9717679390000002</v>
      </c>
      <c r="O3">
        <v>6.1510954839999998</v>
      </c>
      <c r="P3">
        <v>6.3304230280000002</v>
      </c>
      <c r="Q3">
        <v>6.5097505729999998</v>
      </c>
      <c r="R3">
        <v>6.6890781170000002</v>
      </c>
      <c r="S3">
        <v>6.8684056619999998</v>
      </c>
      <c r="T3">
        <v>7.0477332070000003</v>
      </c>
      <c r="U3">
        <v>7.2270607509999998</v>
      </c>
      <c r="V3">
        <v>7.4063882960000003</v>
      </c>
      <c r="W3">
        <v>7.5857158399999998</v>
      </c>
      <c r="X3">
        <v>7.7650433850000002</v>
      </c>
      <c r="Y3">
        <v>7.9443709289999997</v>
      </c>
      <c r="Z3">
        <v>8.1236984739999993</v>
      </c>
      <c r="AA3">
        <v>8.3030260180000006</v>
      </c>
      <c r="AB3">
        <v>8.4823535630000002</v>
      </c>
      <c r="AC3">
        <v>8.6616811069999997</v>
      </c>
      <c r="AD3">
        <v>8.8410086519999993</v>
      </c>
      <c r="AE3">
        <v>9.0203361960000006</v>
      </c>
      <c r="AF3">
        <v>9.1996637410000002</v>
      </c>
      <c r="AG3">
        <v>9.3789912849999997</v>
      </c>
      <c r="AH3">
        <v>9.5583188299999993</v>
      </c>
    </row>
    <row r="4" spans="1:34" x14ac:dyDescent="0.35">
      <c r="A4">
        <v>2</v>
      </c>
      <c r="B4" t="s">
        <v>26</v>
      </c>
      <c r="C4">
        <v>4.1784924940000003</v>
      </c>
      <c r="D4">
        <v>4.1784924940000003</v>
      </c>
      <c r="E4">
        <v>4.3578200389999999</v>
      </c>
      <c r="F4">
        <v>4.5371475830000003</v>
      </c>
      <c r="G4">
        <v>4.7164751279999999</v>
      </c>
      <c r="H4">
        <v>4.8958026720000003</v>
      </c>
      <c r="I4">
        <v>5.0751302169999999</v>
      </c>
      <c r="J4">
        <v>5.4337853059999999</v>
      </c>
      <c r="K4">
        <v>5.7924403949999999</v>
      </c>
      <c r="L4">
        <v>6.1510954839999998</v>
      </c>
      <c r="M4">
        <v>6.5097505729999998</v>
      </c>
      <c r="N4">
        <v>6.8684056619999998</v>
      </c>
      <c r="O4">
        <v>6.8684056619999998</v>
      </c>
      <c r="P4">
        <v>6.8684056619999998</v>
      </c>
      <c r="Q4">
        <v>6.8684056619999998</v>
      </c>
      <c r="R4">
        <v>6.8684056619999998</v>
      </c>
      <c r="S4">
        <v>6.8684056619999998</v>
      </c>
      <c r="T4">
        <v>7.0477332070000003</v>
      </c>
      <c r="U4">
        <v>7.2270607509999998</v>
      </c>
      <c r="V4">
        <v>7.4063882960000003</v>
      </c>
      <c r="W4">
        <v>7.5857158399999998</v>
      </c>
      <c r="X4">
        <v>7.7650433850000002</v>
      </c>
      <c r="Y4">
        <v>7.9443709289999997</v>
      </c>
      <c r="Z4">
        <v>8.1236984739999993</v>
      </c>
      <c r="AA4">
        <v>8.3030260180000006</v>
      </c>
      <c r="AB4">
        <v>8.4823535630000002</v>
      </c>
      <c r="AC4">
        <v>8.6616811069999997</v>
      </c>
      <c r="AD4">
        <v>8.8410086519999993</v>
      </c>
      <c r="AE4">
        <v>9.0203361960000006</v>
      </c>
      <c r="AF4">
        <v>9.1996637410000002</v>
      </c>
      <c r="AG4">
        <v>9.3789912849999997</v>
      </c>
      <c r="AH4">
        <v>9.5583188299999993</v>
      </c>
    </row>
    <row r="5" spans="1:34" x14ac:dyDescent="0.35">
      <c r="A5">
        <v>2</v>
      </c>
      <c r="B5">
        <v>2045</v>
      </c>
      <c r="C5">
        <v>4.1784924940000003</v>
      </c>
      <c r="D5">
        <v>4.1784924940000003</v>
      </c>
      <c r="E5">
        <v>4.4474838109999997</v>
      </c>
      <c r="F5">
        <v>4.7164751279999999</v>
      </c>
      <c r="G5">
        <v>4.9854664440000001</v>
      </c>
      <c r="H5">
        <v>5.2544577610000003</v>
      </c>
      <c r="I5">
        <v>5.5234490779999996</v>
      </c>
      <c r="J5">
        <v>5.7924403949999999</v>
      </c>
      <c r="K5">
        <v>6.0614317120000001</v>
      </c>
      <c r="L5">
        <v>6.3304230280000002</v>
      </c>
      <c r="M5">
        <v>6.5994143449999996</v>
      </c>
      <c r="N5">
        <v>6.8684056619999998</v>
      </c>
      <c r="O5">
        <v>7.137396979</v>
      </c>
      <c r="P5">
        <v>7.4063882960000003</v>
      </c>
      <c r="Q5">
        <v>7.6753796120000004</v>
      </c>
      <c r="R5">
        <v>7.9443709289999997</v>
      </c>
      <c r="S5">
        <v>8.2133622460000009</v>
      </c>
      <c r="T5">
        <v>8.4823535630000002</v>
      </c>
      <c r="U5">
        <v>8.7513448799999995</v>
      </c>
      <c r="V5">
        <v>9.0203361960000006</v>
      </c>
      <c r="W5">
        <v>9.2893275129999999</v>
      </c>
      <c r="X5">
        <v>9.5583188299999993</v>
      </c>
      <c r="Y5">
        <v>9.5583188299999993</v>
      </c>
      <c r="Z5">
        <v>9.5583188299999993</v>
      </c>
      <c r="AA5">
        <v>9.5583188299999993</v>
      </c>
      <c r="AB5">
        <v>9.5583188299999993</v>
      </c>
      <c r="AC5">
        <v>9.5583188299999993</v>
      </c>
      <c r="AD5">
        <v>9.5583188299999993</v>
      </c>
      <c r="AE5">
        <v>9.5583188299999993</v>
      </c>
      <c r="AF5">
        <v>9.5583188299999993</v>
      </c>
      <c r="AG5">
        <v>9.5583188299999993</v>
      </c>
      <c r="AH5">
        <v>9.5583188299999993</v>
      </c>
    </row>
    <row r="6" spans="1:34" x14ac:dyDescent="0.35">
      <c r="A6">
        <v>2</v>
      </c>
      <c r="B6">
        <v>2050</v>
      </c>
      <c r="C6">
        <v>4.1784924940000003</v>
      </c>
      <c r="D6">
        <v>4.1784924940000003</v>
      </c>
      <c r="E6">
        <v>4.3936855474400005</v>
      </c>
      <c r="F6">
        <v>4.6088786008800007</v>
      </c>
      <c r="G6">
        <v>4.8240716543200008</v>
      </c>
      <c r="H6">
        <v>5.0392647077600001</v>
      </c>
      <c r="I6">
        <v>5.2544577612000003</v>
      </c>
      <c r="J6">
        <v>5.6848438680800006</v>
      </c>
      <c r="K6">
        <v>6.1152299749600001</v>
      </c>
      <c r="L6">
        <v>6.5456160818399995</v>
      </c>
      <c r="M6">
        <v>6.976002188719999</v>
      </c>
      <c r="N6">
        <v>7.4063882955999993</v>
      </c>
      <c r="O6">
        <v>7.4063882955999993</v>
      </c>
      <c r="P6">
        <v>7.4063882955999993</v>
      </c>
      <c r="Q6">
        <v>7.4063882955999993</v>
      </c>
      <c r="R6">
        <v>7.4063882955999993</v>
      </c>
      <c r="S6">
        <v>7.4063882955999993</v>
      </c>
      <c r="T6">
        <v>7.6215813490399995</v>
      </c>
      <c r="U6">
        <v>7.8367744024799997</v>
      </c>
      <c r="V6">
        <v>8.0519674559199998</v>
      </c>
      <c r="W6">
        <v>8.26716050936</v>
      </c>
      <c r="X6">
        <v>8.4823535628000002</v>
      </c>
      <c r="Y6">
        <v>8.6975466162399986</v>
      </c>
      <c r="Z6">
        <v>8.9127396696799988</v>
      </c>
      <c r="AA6">
        <v>9.1279327231199989</v>
      </c>
      <c r="AB6">
        <v>9.3431257765599991</v>
      </c>
      <c r="AC6">
        <v>9.5583188299999993</v>
      </c>
    </row>
    <row r="7" spans="1:34" x14ac:dyDescent="0.35">
      <c r="A7">
        <v>2</v>
      </c>
      <c r="B7" t="s">
        <v>28</v>
      </c>
      <c r="C7">
        <v>4.1784924940000003</v>
      </c>
      <c r="D7">
        <v>4.1784924940000003</v>
      </c>
      <c r="E7">
        <v>4.3936855474400005</v>
      </c>
      <c r="F7">
        <v>4.6088786008800007</v>
      </c>
      <c r="G7">
        <v>4.8240716543200008</v>
      </c>
      <c r="H7">
        <v>5.0392647077600001</v>
      </c>
      <c r="I7">
        <v>5.2544577612000003</v>
      </c>
      <c r="J7">
        <v>5.4696508146400005</v>
      </c>
      <c r="K7">
        <v>5.6848438680799998</v>
      </c>
      <c r="L7">
        <v>5.9000369215199999</v>
      </c>
      <c r="M7">
        <v>6.1152299749600001</v>
      </c>
      <c r="N7">
        <v>6.3304230284000003</v>
      </c>
      <c r="O7">
        <v>6.5456160818400004</v>
      </c>
      <c r="P7">
        <v>6.7608091352800006</v>
      </c>
      <c r="Q7">
        <v>6.9760021887199999</v>
      </c>
      <c r="R7">
        <v>7.1911952421599992</v>
      </c>
      <c r="S7">
        <v>7.4063882955999993</v>
      </c>
      <c r="T7">
        <v>7.6215813490399995</v>
      </c>
      <c r="U7">
        <v>7.8367744024799997</v>
      </c>
      <c r="V7">
        <v>8.0519674559199998</v>
      </c>
      <c r="W7">
        <v>8.26716050936</v>
      </c>
      <c r="X7">
        <v>8.4823535628000002</v>
      </c>
      <c r="Y7">
        <v>8.6975466162399986</v>
      </c>
      <c r="Z7">
        <v>8.9127396696799988</v>
      </c>
      <c r="AA7">
        <v>9.1279327231199989</v>
      </c>
      <c r="AB7">
        <v>9.3431257765599991</v>
      </c>
      <c r="AC7">
        <v>9.5583188299999993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selected_modal_shares_2040</vt:lpstr>
      <vt:lpstr>all_modal_shares_2040</vt:lpstr>
      <vt:lpstr>selected_active_shares</vt:lpstr>
      <vt:lpstr>all_active_shares</vt:lpstr>
      <vt:lpstr>infra_scenarios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HARTVIG Aron</dc:creator>
  <cp:lastModifiedBy>HARTVIG Aron</cp:lastModifiedBy>
  <dcterms:created xsi:type="dcterms:W3CDTF">2025-11-27T07:51:35Z</dcterms:created>
  <dcterms:modified xsi:type="dcterms:W3CDTF">2026-01-28T08:52:11Z</dcterms:modified>
</cp:coreProperties>
</file>